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83f2e2a4e1bd5a/Desktop/projects/"/>
    </mc:Choice>
  </mc:AlternateContent>
  <xr:revisionPtr revIDLastSave="0" documentId="8_{12E3014D-86A6-4FA3-BF45-19D383B078B3}" xr6:coauthVersionLast="47" xr6:coauthVersionMax="47" xr10:uidLastSave="{00000000-0000-0000-0000-000000000000}"/>
  <bookViews>
    <workbookView xWindow="-108" yWindow="-108" windowWidth="23256" windowHeight="12456" xr2:uid="{B2D93E46-CD82-4ED6-A31B-9A503DE33D0C}"/>
  </bookViews>
  <sheets>
    <sheet name="Financial Statements" sheetId="2" r:id="rId1"/>
    <sheet name="Sheet1" sheetId="1" r:id="rId2"/>
  </sheets>
  <definedNames>
    <definedName name="ExternalData_1" localSheetId="0" hidden="1">'Financial Statements'!$A$1:$W$162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62" i="2" l="1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2" i="2"/>
  <c r="X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FFC42-87E9-4592-82E5-C8E7F7CB855E}" keepAlive="1" name="Query - Financial Statements" description="Connection to the 'Financial Statements' query in the workbook." type="5" refreshedVersion="8" background="1" saveData="1">
    <dbPr connection="Provider=Microsoft.Mashup.OleDb.1;Data Source=$Workbook$;Location=&quot;Financial Statements&quot;;Extended Properties=&quot;&quot;" command="SELECT * FROM [Financial Statements]"/>
  </connection>
</connections>
</file>

<file path=xl/sharedStrings.xml><?xml version="1.0" encoding="utf-8"?>
<sst xmlns="http://schemas.openxmlformats.org/spreadsheetml/2006/main" count="346" uniqueCount="44">
  <si>
    <t>Year</t>
  </si>
  <si>
    <t>Company</t>
  </si>
  <si>
    <t>Category</t>
  </si>
  <si>
    <t>Market Cap(in B USD)</t>
  </si>
  <si>
    <t>Revenue</t>
  </si>
  <si>
    <t>Gross Profit</t>
  </si>
  <si>
    <t>Net Income</t>
  </si>
  <si>
    <t>Earning Per Share</t>
  </si>
  <si>
    <t>EBITDA</t>
  </si>
  <si>
    <t>Share Holder Equity</t>
  </si>
  <si>
    <t>Cash Flow from Operating</t>
  </si>
  <si>
    <t>Cash Flow from Investing</t>
  </si>
  <si>
    <t>Cash Flow from Financial Activities</t>
  </si>
  <si>
    <t>Current Ratio</t>
  </si>
  <si>
    <t>Debt/Equity Ratio</t>
  </si>
  <si>
    <t>ROE</t>
  </si>
  <si>
    <t>ROA</t>
  </si>
  <si>
    <t>ROI</t>
  </si>
  <si>
    <t>Net Profit Margin</t>
  </si>
  <si>
    <t>Free Cash Flow per Share</t>
  </si>
  <si>
    <t>Return on Tangible Equity</t>
  </si>
  <si>
    <t>Number of Employees</t>
  </si>
  <si>
    <t>Inflation Rate(in US)</t>
  </si>
  <si>
    <t>AAPL</t>
  </si>
  <si>
    <t>IT</t>
  </si>
  <si>
    <t>AIG</t>
  </si>
  <si>
    <t>Bank</t>
  </si>
  <si>
    <t>AMZN</t>
  </si>
  <si>
    <t>LOGI</t>
  </si>
  <si>
    <t>BCS</t>
  </si>
  <si>
    <t>GOOG</t>
  </si>
  <si>
    <t>INTC</t>
  </si>
  <si>
    <t>ELEC</t>
  </si>
  <si>
    <t>MCD</t>
  </si>
  <si>
    <t>FOOD</t>
  </si>
  <si>
    <t>MSFT</t>
  </si>
  <si>
    <t>NVDA</t>
  </si>
  <si>
    <t>PCG</t>
  </si>
  <si>
    <t>Manufacturing</t>
  </si>
  <si>
    <t>PYPL</t>
  </si>
  <si>
    <t>FinTech</t>
  </si>
  <si>
    <t>SHLDQ</t>
  </si>
  <si>
    <t>Finance</t>
  </si>
  <si>
    <t>Revenue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</si>
</sst>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5858CF-A59A-44EC-8FF8-F8B083C2E8A6}" autoFormatId="16" applyNumberFormats="0" applyBorderFormats="0" applyFontFormats="0" applyPatternFormats="0" applyAlignmentFormats="0" applyWidthHeightFormats="0">
  <queryTableRefresh nextId="25" unboundColumnsRight="1">
    <queryTableFields count="24">
      <queryTableField id="1" name="Year" tableColumnId="1"/>
      <queryTableField id="2" name="Company" tableColumnId="2"/>
      <queryTableField id="3" name="Category" tableColumnId="3"/>
      <queryTableField id="4" name="Market Cap(in B USD)" tableColumnId="4"/>
      <queryTableField id="5" name="Revenue" tableColumnId="5"/>
      <queryTableField id="6" name="Gross Profit" tableColumnId="6"/>
      <queryTableField id="7" name="Net Income" tableColumnId="7"/>
      <queryTableField id="8" name="Earning Per Share" tableColumnId="8"/>
      <queryTableField id="9" name="EBITDA" tableColumnId="9"/>
      <queryTableField id="10" name="Share Holder Equity" tableColumnId="10"/>
      <queryTableField id="11" name="Cash Flow from Operating" tableColumnId="11"/>
      <queryTableField id="12" name="Cash Flow from Investing" tableColumnId="12"/>
      <queryTableField id="13" name="Cash Flow from Financial Activities" tableColumnId="13"/>
      <queryTableField id="14" name="Current Ratio" tableColumnId="14"/>
      <queryTableField id="15" name="Debt/Equity Ratio" tableColumnId="15"/>
      <queryTableField id="16" name="ROE" tableColumnId="16"/>
      <queryTableField id="17" name="ROA" tableColumnId="17"/>
      <queryTableField id="18" name="ROI" tableColumnId="18"/>
      <queryTableField id="19" name="Net Profit Margin" tableColumnId="19"/>
      <queryTableField id="20" name="Free Cash Flow per Share" tableColumnId="20"/>
      <queryTableField id="21" name="Return on Tangible Equity" tableColumnId="21"/>
      <queryTableField id="22" name="Number of Employees" tableColumnId="22"/>
      <queryTableField id="23" name="Inflation Rate(in US)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261939-6C2D-4AB4-AA38-D17A96894A9D}" name="Financial_Statements" displayName="Financial_Statements" ref="A1:X162" tableType="queryTable" totalsRowShown="0">
  <autoFilter ref="A1:X162" xr:uid="{7A261939-6C2D-4AB4-AA38-D17A96894A9D}"/>
  <sortState xmlns:xlrd2="http://schemas.microsoft.com/office/spreadsheetml/2017/richdata2" ref="A2:X162">
    <sortCondition ref="B1:B162"/>
  </sortState>
  <tableColumns count="24">
    <tableColumn id="1" xr3:uid="{96666DAF-30A0-42E0-AFC7-387B16F34F97}" uniqueName="1" name="Year" queryTableFieldId="1"/>
    <tableColumn id="2" xr3:uid="{B95B999B-C634-4DE0-8D50-297C1499F4F9}" uniqueName="2" name="Company" queryTableFieldId="2" dataDxfId="2"/>
    <tableColumn id="3" xr3:uid="{2191A9C7-BD95-4035-B6F6-9917E51F19E9}" uniqueName="3" name="Category" queryTableFieldId="3" dataDxfId="1"/>
    <tableColumn id="4" xr3:uid="{25722CF0-3576-4190-9D11-BBEDE7D6700D}" uniqueName="4" name="Market Cap(in B USD)" queryTableFieldId="4"/>
    <tableColumn id="5" xr3:uid="{F3F47E60-F272-4DD1-986C-DEA88FE8B6C4}" uniqueName="5" name="Revenue" queryTableFieldId="5"/>
    <tableColumn id="6" xr3:uid="{7E20A341-60C9-48D5-BC2F-33CB867D8E60}" uniqueName="6" name="Gross Profit" queryTableFieldId="6"/>
    <tableColumn id="7" xr3:uid="{0042E34E-EAE8-43AD-BE8D-94003DED6616}" uniqueName="7" name="Net Income" queryTableFieldId="7"/>
    <tableColumn id="8" xr3:uid="{5747A7E0-A0EA-4D0B-B9FB-232483DA5FDC}" uniqueName="8" name="Earning Per Share" queryTableFieldId="8"/>
    <tableColumn id="9" xr3:uid="{BCA23700-7D18-4F08-BF2F-A54D0623D4E1}" uniqueName="9" name="EBITDA" queryTableFieldId="9"/>
    <tableColumn id="10" xr3:uid="{EB55BF92-8805-48C9-A359-6DA7D62116C1}" uniqueName="10" name="Share Holder Equity" queryTableFieldId="10"/>
    <tableColumn id="11" xr3:uid="{7D1E9BA2-F76F-4C04-9FA7-3679FC570C49}" uniqueName="11" name="Cash Flow from Operating" queryTableFieldId="11"/>
    <tableColumn id="12" xr3:uid="{8767389A-095E-4FF7-90F0-AF36731F150D}" uniqueName="12" name="Cash Flow from Investing" queryTableFieldId="12"/>
    <tableColumn id="13" xr3:uid="{6A145366-2E35-4D0D-938B-64670079FE0A}" uniqueName="13" name="Cash Flow from Financial Activities" queryTableFieldId="13"/>
    <tableColumn id="14" xr3:uid="{6B55A0D7-F32B-4F1C-B04F-CFC40BB55548}" uniqueName="14" name="Current Ratio" queryTableFieldId="14"/>
    <tableColumn id="15" xr3:uid="{B508FB75-C47E-431B-A9A8-045286FC333C}" uniqueName="15" name="Debt/Equity Ratio" queryTableFieldId="15"/>
    <tableColumn id="16" xr3:uid="{1292B1A5-1010-40A1-84C2-F17DE560A2B6}" uniqueName="16" name="ROE" queryTableFieldId="16"/>
    <tableColumn id="17" xr3:uid="{86C26813-4A70-4D7F-9AFD-E0DCD650FC6E}" uniqueName="17" name="ROA" queryTableFieldId="17"/>
    <tableColumn id="18" xr3:uid="{DD8D8E31-1B12-4680-9AB4-897FFFBF6AAE}" uniqueName="18" name="ROI" queryTableFieldId="18"/>
    <tableColumn id="19" xr3:uid="{5F2B3F16-378F-4730-9DB7-0F0C63F1E57F}" uniqueName="19" name="Net Profit Margin" queryTableFieldId="19"/>
    <tableColumn id="20" xr3:uid="{59A50C35-E973-4791-AB44-F277FD4E0ECB}" uniqueName="20" name="Free Cash Flow per Share" queryTableFieldId="20"/>
    <tableColumn id="21" xr3:uid="{583CD84B-18E9-42BD-8AE4-8E81B09BDF1D}" uniqueName="21" name="Return on Tangible Equity" queryTableFieldId="21"/>
    <tableColumn id="22" xr3:uid="{350B8F55-10B9-4921-A718-920B45271124}" uniqueName="22" name="Number of Employees" queryTableFieldId="22"/>
    <tableColumn id="23" xr3:uid="{DFEBC0B6-FCE7-4C83-B651-5F475E4D2677}" uniqueName="23" name="Inflation Rate(in US)" queryTableFieldId="23"/>
    <tableColumn id="24" xr3:uid="{499E0042-B829-4819-9408-7F653958BC47}" uniqueName="24" name="Revenue growth %" queryTableFieldId="24" dataDxfId="0">
      <calculatedColumnFormula>IF(B2=B1,(E2-E1)/E1,"")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AB85-50A2-447F-9D5C-87734F7A2690}">
  <dimension ref="A1:X162"/>
  <sheetViews>
    <sheetView tabSelected="1" topLeftCell="O1" workbookViewId="0">
      <selection activeCell="Y8" sqref="Y8"/>
    </sheetView>
  </sheetViews>
  <sheetFormatPr defaultRowHeight="14.4" x14ac:dyDescent="0.3"/>
  <cols>
    <col min="1" max="1" width="6.88671875" bestFit="1" customWidth="1"/>
    <col min="2" max="2" width="11.109375" bestFit="1" customWidth="1"/>
    <col min="3" max="3" width="12.5546875" bestFit="1" customWidth="1"/>
    <col min="4" max="4" width="21.109375" bestFit="1" customWidth="1"/>
    <col min="5" max="5" width="10.21875" bestFit="1" customWidth="1"/>
    <col min="6" max="6" width="12.88671875" bestFit="1" customWidth="1"/>
    <col min="7" max="7" width="12.77734375" bestFit="1" customWidth="1"/>
    <col min="8" max="8" width="17.6640625" bestFit="1" customWidth="1"/>
    <col min="9" max="9" width="9.109375" bestFit="1" customWidth="1"/>
    <col min="10" max="10" width="19.77734375" bestFit="1" customWidth="1"/>
    <col min="11" max="11" width="24.6640625" bestFit="1" customWidth="1"/>
    <col min="12" max="12" width="23.88671875" bestFit="1" customWidth="1"/>
    <col min="13" max="13" width="32.5546875" bestFit="1" customWidth="1"/>
    <col min="14" max="14" width="14.109375" bestFit="1" customWidth="1"/>
    <col min="15" max="15" width="17.88671875" bestFit="1" customWidth="1"/>
    <col min="16" max="16" width="9.6640625" bestFit="1" customWidth="1"/>
    <col min="17" max="17" width="8.6640625" bestFit="1" customWidth="1"/>
    <col min="18" max="18" width="9.6640625" bestFit="1" customWidth="1"/>
    <col min="19" max="19" width="17.109375" bestFit="1" customWidth="1"/>
    <col min="20" max="20" width="24.109375" bestFit="1" customWidth="1"/>
    <col min="21" max="21" width="24.21875" bestFit="1" customWidth="1"/>
    <col min="22" max="22" width="21.5546875" bestFit="1" customWidth="1"/>
    <col min="23" max="23" width="20" bestFit="1" customWidth="1"/>
    <col min="24" max="24" width="23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43</v>
      </c>
    </row>
    <row r="2" spans="1:24" x14ac:dyDescent="0.3">
      <c r="A2">
        <v>2009</v>
      </c>
      <c r="B2" s="1" t="s">
        <v>23</v>
      </c>
      <c r="C2" s="1" t="s">
        <v>24</v>
      </c>
      <c r="D2">
        <v>189.8</v>
      </c>
      <c r="E2">
        <v>42905</v>
      </c>
      <c r="F2">
        <v>17222</v>
      </c>
      <c r="G2">
        <v>8235</v>
      </c>
      <c r="H2">
        <v>0.32429999999999998</v>
      </c>
      <c r="I2">
        <v>12474</v>
      </c>
      <c r="J2">
        <v>31640</v>
      </c>
      <c r="K2">
        <v>10159</v>
      </c>
      <c r="L2">
        <v>-17434</v>
      </c>
      <c r="M2">
        <v>663</v>
      </c>
      <c r="N2">
        <v>2.7425000000000002</v>
      </c>
      <c r="O2">
        <v>0</v>
      </c>
      <c r="P2">
        <v>26.027200000000001</v>
      </c>
      <c r="Q2">
        <v>17.336500000000001</v>
      </c>
      <c r="R2">
        <v>26.027200000000001</v>
      </c>
      <c r="S2">
        <v>19.1936</v>
      </c>
      <c r="T2">
        <v>0.35499999999999998</v>
      </c>
      <c r="U2">
        <v>26.405200000000001</v>
      </c>
      <c r="V2">
        <v>36800</v>
      </c>
      <c r="W2">
        <v>-0.35549999999999998</v>
      </c>
      <c r="X2" t="str">
        <f t="shared" ref="X2:X65" si="0">IF(B2=B1,(E2-E1)/E1,"")</f>
        <v/>
      </c>
    </row>
    <row r="3" spans="1:24" x14ac:dyDescent="0.3">
      <c r="A3">
        <v>2010</v>
      </c>
      <c r="B3" s="1" t="s">
        <v>23</v>
      </c>
      <c r="C3" s="1" t="s">
        <v>24</v>
      </c>
      <c r="D3">
        <v>296.89</v>
      </c>
      <c r="E3">
        <v>65225</v>
      </c>
      <c r="F3">
        <v>25684</v>
      </c>
      <c r="G3">
        <v>14013</v>
      </c>
      <c r="H3">
        <v>0.54110000000000003</v>
      </c>
      <c r="I3">
        <v>19412</v>
      </c>
      <c r="J3">
        <v>47791</v>
      </c>
      <c r="K3">
        <v>18595</v>
      </c>
      <c r="L3">
        <v>-13854</v>
      </c>
      <c r="M3">
        <v>1257</v>
      </c>
      <c r="N3">
        <v>2.0112999999999999</v>
      </c>
      <c r="O3">
        <v>0</v>
      </c>
      <c r="P3">
        <v>29.321400000000001</v>
      </c>
      <c r="Q3">
        <v>18.638500000000001</v>
      </c>
      <c r="R3">
        <v>29.321400000000001</v>
      </c>
      <c r="S3">
        <v>21.484100000000002</v>
      </c>
      <c r="T3">
        <v>0.28570000000000001</v>
      </c>
      <c r="U3">
        <v>30.001300000000001</v>
      </c>
      <c r="V3">
        <v>49400</v>
      </c>
      <c r="W3">
        <v>1.64</v>
      </c>
      <c r="X3">
        <f t="shared" si="0"/>
        <v>0.52021908868430256</v>
      </c>
    </row>
    <row r="4" spans="1:24" x14ac:dyDescent="0.3">
      <c r="A4">
        <v>2011</v>
      </c>
      <c r="B4" s="1" t="s">
        <v>23</v>
      </c>
      <c r="C4" s="1" t="s">
        <v>24</v>
      </c>
      <c r="D4">
        <v>376.4</v>
      </c>
      <c r="E4">
        <v>108249</v>
      </c>
      <c r="F4">
        <v>43818</v>
      </c>
      <c r="G4">
        <v>25922</v>
      </c>
      <c r="H4">
        <v>0.98860000000000003</v>
      </c>
      <c r="I4">
        <v>35604</v>
      </c>
      <c r="J4">
        <v>76615</v>
      </c>
      <c r="K4">
        <v>37529</v>
      </c>
      <c r="L4">
        <v>-40419</v>
      </c>
      <c r="M4">
        <v>1444</v>
      </c>
      <c r="N4">
        <v>1.6084000000000001</v>
      </c>
      <c r="O4">
        <v>0</v>
      </c>
      <c r="P4">
        <v>33.834099999999999</v>
      </c>
      <c r="Q4">
        <v>22.275300000000001</v>
      </c>
      <c r="R4">
        <v>33.834099999999999</v>
      </c>
      <c r="S4">
        <v>23.9466</v>
      </c>
      <c r="T4">
        <v>0.62780000000000002</v>
      </c>
      <c r="U4">
        <v>35.911499999999997</v>
      </c>
      <c r="V4">
        <v>63300</v>
      </c>
      <c r="W4">
        <v>3.1568000000000001</v>
      </c>
      <c r="X4">
        <f t="shared" si="0"/>
        <v>0.65962437715599842</v>
      </c>
    </row>
    <row r="5" spans="1:24" x14ac:dyDescent="0.3">
      <c r="A5">
        <v>2012</v>
      </c>
      <c r="B5" s="1" t="s">
        <v>23</v>
      </c>
      <c r="C5" s="1" t="s">
        <v>24</v>
      </c>
      <c r="D5">
        <v>500.61</v>
      </c>
      <c r="E5">
        <v>156508</v>
      </c>
      <c r="F5">
        <v>68662</v>
      </c>
      <c r="G5">
        <v>41733</v>
      </c>
      <c r="H5">
        <v>1.5774999999999999</v>
      </c>
      <c r="I5">
        <v>58518</v>
      </c>
      <c r="J5">
        <v>118210</v>
      </c>
      <c r="K5">
        <v>50856</v>
      </c>
      <c r="L5">
        <v>-48227</v>
      </c>
      <c r="M5">
        <v>-1698</v>
      </c>
      <c r="N5">
        <v>1.4958</v>
      </c>
      <c r="O5">
        <v>0</v>
      </c>
      <c r="P5">
        <v>35.304099999999998</v>
      </c>
      <c r="Q5">
        <v>23.703299999999999</v>
      </c>
      <c r="R5">
        <v>35.304099999999998</v>
      </c>
      <c r="S5">
        <v>26.665099999999999</v>
      </c>
      <c r="T5">
        <v>0.33939999999999998</v>
      </c>
      <c r="U5">
        <v>36.980600000000003</v>
      </c>
      <c r="V5">
        <v>76100</v>
      </c>
      <c r="W5">
        <v>2.0693000000000001</v>
      </c>
      <c r="X5">
        <f t="shared" si="0"/>
        <v>0.44581474193756987</v>
      </c>
    </row>
    <row r="6" spans="1:24" x14ac:dyDescent="0.3">
      <c r="A6">
        <v>2013</v>
      </c>
      <c r="B6" s="1" t="s">
        <v>23</v>
      </c>
      <c r="C6" s="1" t="s">
        <v>24</v>
      </c>
      <c r="D6">
        <v>504.79</v>
      </c>
      <c r="E6">
        <v>170910</v>
      </c>
      <c r="F6">
        <v>64304</v>
      </c>
      <c r="G6">
        <v>37037</v>
      </c>
      <c r="H6">
        <v>1.42</v>
      </c>
      <c r="I6">
        <v>55756</v>
      </c>
      <c r="J6">
        <v>123549</v>
      </c>
      <c r="K6">
        <v>53666</v>
      </c>
      <c r="L6">
        <v>-33774</v>
      </c>
      <c r="M6">
        <v>-16379</v>
      </c>
      <c r="N6">
        <v>1.6786000000000001</v>
      </c>
      <c r="O6">
        <v>0.13730000000000001</v>
      </c>
      <c r="P6">
        <v>29.977599999999999</v>
      </c>
      <c r="Q6">
        <v>17.892299999999999</v>
      </c>
      <c r="R6">
        <v>26.359200000000001</v>
      </c>
      <c r="S6">
        <v>21.670500000000001</v>
      </c>
      <c r="T6">
        <v>0.1363</v>
      </c>
      <c r="U6">
        <v>31.442499999999999</v>
      </c>
      <c r="V6">
        <v>84400</v>
      </c>
      <c r="W6">
        <v>1.4648000000000001</v>
      </c>
      <c r="X6">
        <f t="shared" si="0"/>
        <v>9.202085516395328E-2</v>
      </c>
    </row>
    <row r="7" spans="1:24" x14ac:dyDescent="0.3">
      <c r="A7">
        <v>2014</v>
      </c>
      <c r="B7" s="1" t="s">
        <v>23</v>
      </c>
      <c r="C7" s="1" t="s">
        <v>24</v>
      </c>
      <c r="D7">
        <v>647.36</v>
      </c>
      <c r="E7">
        <v>182795</v>
      </c>
      <c r="F7">
        <v>70537</v>
      </c>
      <c r="G7">
        <v>39510</v>
      </c>
      <c r="H7">
        <v>1.6125</v>
      </c>
      <c r="I7">
        <v>60449</v>
      </c>
      <c r="J7">
        <v>111547</v>
      </c>
      <c r="K7">
        <v>59713</v>
      </c>
      <c r="L7">
        <v>-22579</v>
      </c>
      <c r="M7">
        <v>-37549</v>
      </c>
      <c r="N7">
        <v>1.0801000000000001</v>
      </c>
      <c r="O7">
        <v>0.31640000000000001</v>
      </c>
      <c r="P7">
        <v>35.420099999999998</v>
      </c>
      <c r="Q7">
        <v>17.042000000000002</v>
      </c>
      <c r="R7">
        <v>28.1142</v>
      </c>
      <c r="S7">
        <v>21.6144</v>
      </c>
      <c r="T7">
        <v>0.30320000000000003</v>
      </c>
      <c r="U7">
        <v>38.438000000000002</v>
      </c>
      <c r="V7">
        <v>97000</v>
      </c>
      <c r="W7">
        <v>1.6222000000000001</v>
      </c>
      <c r="X7">
        <f t="shared" si="0"/>
        <v>6.9539523725937621E-2</v>
      </c>
    </row>
    <row r="8" spans="1:24" x14ac:dyDescent="0.3">
      <c r="A8">
        <v>2015</v>
      </c>
      <c r="B8" s="1" t="s">
        <v>23</v>
      </c>
      <c r="C8" s="1" t="s">
        <v>24</v>
      </c>
      <c r="D8">
        <v>586.86</v>
      </c>
      <c r="E8">
        <v>233715</v>
      </c>
      <c r="F8">
        <v>93626</v>
      </c>
      <c r="G8">
        <v>53394</v>
      </c>
      <c r="H8">
        <v>2.3050000000000002</v>
      </c>
      <c r="I8">
        <v>82487</v>
      </c>
      <c r="J8">
        <v>119355</v>
      </c>
      <c r="K8">
        <v>81266</v>
      </c>
      <c r="L8">
        <v>-56274</v>
      </c>
      <c r="M8">
        <v>-17716</v>
      </c>
      <c r="N8">
        <v>1.1088</v>
      </c>
      <c r="O8">
        <v>0.53900000000000003</v>
      </c>
      <c r="P8">
        <v>44.735500000000002</v>
      </c>
      <c r="Q8">
        <v>18.389900000000001</v>
      </c>
      <c r="R8">
        <v>30.920100000000001</v>
      </c>
      <c r="S8">
        <v>22.845800000000001</v>
      </c>
      <c r="T8">
        <v>0.97430000000000005</v>
      </c>
      <c r="U8">
        <v>48.387799999999999</v>
      </c>
      <c r="V8">
        <v>110000</v>
      </c>
      <c r="W8">
        <v>0.1186</v>
      </c>
      <c r="X8">
        <f t="shared" si="0"/>
        <v>0.2785634180365984</v>
      </c>
    </row>
    <row r="9" spans="1:24" x14ac:dyDescent="0.3">
      <c r="A9">
        <v>2016</v>
      </c>
      <c r="B9" s="1" t="s">
        <v>23</v>
      </c>
      <c r="C9" s="1" t="s">
        <v>24</v>
      </c>
      <c r="D9">
        <v>617.59</v>
      </c>
      <c r="E9">
        <v>215639</v>
      </c>
      <c r="F9">
        <v>84263</v>
      </c>
      <c r="G9">
        <v>45687</v>
      </c>
      <c r="H9">
        <v>2.0775000000000001</v>
      </c>
      <c r="I9">
        <v>70529</v>
      </c>
      <c r="J9">
        <v>128249</v>
      </c>
      <c r="K9">
        <v>66231</v>
      </c>
      <c r="L9">
        <v>-45977</v>
      </c>
      <c r="M9">
        <v>-20890</v>
      </c>
      <c r="N9">
        <v>1.3527</v>
      </c>
      <c r="O9">
        <v>0.67859999999999998</v>
      </c>
      <c r="P9">
        <v>35.623699999999999</v>
      </c>
      <c r="Q9">
        <v>14.202400000000001</v>
      </c>
      <c r="R9">
        <v>22.4312</v>
      </c>
      <c r="S9">
        <v>21.186800000000002</v>
      </c>
      <c r="T9">
        <v>-0.59009999999999996</v>
      </c>
      <c r="U9">
        <v>38.190600000000003</v>
      </c>
      <c r="V9">
        <v>116000</v>
      </c>
      <c r="W9">
        <v>1.2616000000000001</v>
      </c>
      <c r="X9">
        <f t="shared" si="0"/>
        <v>-7.734206191301371E-2</v>
      </c>
    </row>
    <row r="10" spans="1:24" x14ac:dyDescent="0.3">
      <c r="A10">
        <v>2017</v>
      </c>
      <c r="B10" s="1" t="s">
        <v>23</v>
      </c>
      <c r="C10" s="1" t="s">
        <v>24</v>
      </c>
      <c r="D10">
        <v>868.87</v>
      </c>
      <c r="E10">
        <v>229234</v>
      </c>
      <c r="F10">
        <v>88186</v>
      </c>
      <c r="G10">
        <v>48351</v>
      </c>
      <c r="H10">
        <v>2.3025000000000002</v>
      </c>
      <c r="I10">
        <v>71501</v>
      </c>
      <c r="J10">
        <v>134047</v>
      </c>
      <c r="K10">
        <v>64225</v>
      </c>
      <c r="L10">
        <v>-46446</v>
      </c>
      <c r="M10">
        <v>-17974</v>
      </c>
      <c r="N10">
        <v>1.2761</v>
      </c>
      <c r="O10">
        <v>0.86299999999999999</v>
      </c>
      <c r="P10">
        <v>36.0702</v>
      </c>
      <c r="Q10">
        <v>12.8826</v>
      </c>
      <c r="R10">
        <v>20.908200000000001</v>
      </c>
      <c r="S10">
        <v>21.092400000000001</v>
      </c>
      <c r="T10">
        <v>3.3000000000000002E-2</v>
      </c>
      <c r="U10">
        <v>36.0702</v>
      </c>
      <c r="V10">
        <v>123000</v>
      </c>
      <c r="W10">
        <v>2.1301000000000001</v>
      </c>
      <c r="X10">
        <f t="shared" si="0"/>
        <v>6.3045181993980681E-2</v>
      </c>
    </row>
    <row r="11" spans="1:24" x14ac:dyDescent="0.3">
      <c r="A11">
        <v>2018</v>
      </c>
      <c r="B11" s="1" t="s">
        <v>23</v>
      </c>
      <c r="C11" s="1" t="s">
        <v>24</v>
      </c>
      <c r="D11">
        <v>748.54</v>
      </c>
      <c r="E11">
        <v>265595</v>
      </c>
      <c r="F11">
        <v>101839</v>
      </c>
      <c r="G11">
        <v>59531</v>
      </c>
      <c r="H11">
        <v>2.98</v>
      </c>
      <c r="I11">
        <v>81801</v>
      </c>
      <c r="J11">
        <v>107147</v>
      </c>
      <c r="K11">
        <v>77434</v>
      </c>
      <c r="L11">
        <v>16066</v>
      </c>
      <c r="M11">
        <v>-87876</v>
      </c>
      <c r="N11">
        <v>1.1329</v>
      </c>
      <c r="O11">
        <v>1.0685</v>
      </c>
      <c r="P11">
        <v>55.560099999999998</v>
      </c>
      <c r="Q11">
        <v>16.2775</v>
      </c>
      <c r="R11">
        <v>29.634799999999998</v>
      </c>
      <c r="S11">
        <v>22.414200000000001</v>
      </c>
      <c r="T11">
        <v>0.74139999999999995</v>
      </c>
      <c r="U11">
        <v>55.560099999999998</v>
      </c>
      <c r="V11">
        <v>132000</v>
      </c>
      <c r="W11">
        <v>2.4426000000000001</v>
      </c>
      <c r="X11">
        <f t="shared" si="0"/>
        <v>0.15861957650261305</v>
      </c>
    </row>
    <row r="12" spans="1:24" x14ac:dyDescent="0.3">
      <c r="A12">
        <v>2019</v>
      </c>
      <c r="B12" s="1" t="s">
        <v>23</v>
      </c>
      <c r="C12" s="1" t="s">
        <v>24</v>
      </c>
      <c r="D12">
        <v>1304.76</v>
      </c>
      <c r="E12">
        <v>260174</v>
      </c>
      <c r="F12">
        <v>98392</v>
      </c>
      <c r="G12">
        <v>55256</v>
      </c>
      <c r="H12">
        <v>2.97</v>
      </c>
      <c r="I12">
        <v>76477</v>
      </c>
      <c r="J12">
        <v>90488</v>
      </c>
      <c r="K12">
        <v>69391</v>
      </c>
      <c r="L12">
        <v>45896</v>
      </c>
      <c r="M12">
        <v>-90976</v>
      </c>
      <c r="N12">
        <v>1.5401</v>
      </c>
      <c r="O12">
        <v>1.194</v>
      </c>
      <c r="P12">
        <v>61.064500000000002</v>
      </c>
      <c r="Q12">
        <v>16.323</v>
      </c>
      <c r="R12">
        <v>30.311299999999999</v>
      </c>
      <c r="S12">
        <v>21.238099999999999</v>
      </c>
      <c r="T12">
        <v>-3.8800000000000001E-2</v>
      </c>
      <c r="U12">
        <v>61.064500000000002</v>
      </c>
      <c r="V12">
        <v>137000</v>
      </c>
      <c r="W12">
        <v>1.8122</v>
      </c>
      <c r="X12">
        <f t="shared" si="0"/>
        <v>-2.0410775805267418E-2</v>
      </c>
    </row>
    <row r="13" spans="1:24" x14ac:dyDescent="0.3">
      <c r="A13">
        <v>2020</v>
      </c>
      <c r="B13" s="1" t="s">
        <v>23</v>
      </c>
      <c r="C13" s="1" t="s">
        <v>24</v>
      </c>
      <c r="D13">
        <v>2255.9699999999998</v>
      </c>
      <c r="E13">
        <v>274515</v>
      </c>
      <c r="F13">
        <v>104956</v>
      </c>
      <c r="G13">
        <v>57411</v>
      </c>
      <c r="H13">
        <v>3.28</v>
      </c>
      <c r="I13">
        <v>77344</v>
      </c>
      <c r="J13">
        <v>65339</v>
      </c>
      <c r="K13">
        <v>80674</v>
      </c>
      <c r="L13">
        <v>-4289</v>
      </c>
      <c r="M13">
        <v>-86820</v>
      </c>
      <c r="N13">
        <v>1.3635999999999999</v>
      </c>
      <c r="O13">
        <v>1.7208000000000001</v>
      </c>
      <c r="P13">
        <v>87.866399999999999</v>
      </c>
      <c r="Q13">
        <v>17.7256</v>
      </c>
      <c r="R13">
        <v>35.005400000000002</v>
      </c>
      <c r="S13">
        <v>20.913599999999999</v>
      </c>
      <c r="T13">
        <v>1.0183</v>
      </c>
      <c r="U13">
        <v>87.866399999999999</v>
      </c>
      <c r="V13">
        <v>147000</v>
      </c>
      <c r="W13">
        <v>1.2336</v>
      </c>
      <c r="X13">
        <f t="shared" si="0"/>
        <v>5.5120803769784836E-2</v>
      </c>
    </row>
    <row r="14" spans="1:24" x14ac:dyDescent="0.3">
      <c r="A14">
        <v>2021</v>
      </c>
      <c r="B14" s="1" t="s">
        <v>23</v>
      </c>
      <c r="C14" s="1" t="s">
        <v>24</v>
      </c>
      <c r="D14">
        <v>2913.28</v>
      </c>
      <c r="E14">
        <v>365817</v>
      </c>
      <c r="F14">
        <v>152836</v>
      </c>
      <c r="G14">
        <v>94680</v>
      </c>
      <c r="H14">
        <v>5.61</v>
      </c>
      <c r="I14">
        <v>120233</v>
      </c>
      <c r="J14">
        <v>63090</v>
      </c>
      <c r="K14">
        <v>104038</v>
      </c>
      <c r="L14">
        <v>-14545</v>
      </c>
      <c r="M14">
        <v>-93353</v>
      </c>
      <c r="N14">
        <v>1.0746</v>
      </c>
      <c r="O14">
        <v>1.9767999999999999</v>
      </c>
      <c r="P14">
        <v>150.07130000000001</v>
      </c>
      <c r="Q14">
        <v>26.9742</v>
      </c>
      <c r="R14">
        <v>54.983899999999998</v>
      </c>
      <c r="S14">
        <v>25.881799999999998</v>
      </c>
      <c r="T14">
        <v>1.3261000000000001</v>
      </c>
      <c r="U14">
        <v>150.07130000000001</v>
      </c>
      <c r="V14">
        <v>154000</v>
      </c>
      <c r="W14">
        <v>4.6978999999999997</v>
      </c>
      <c r="X14">
        <f t="shared" si="0"/>
        <v>0.33259384733074693</v>
      </c>
    </row>
    <row r="15" spans="1:24" x14ac:dyDescent="0.3">
      <c r="A15">
        <v>2022</v>
      </c>
      <c r="B15" s="1" t="s">
        <v>23</v>
      </c>
      <c r="C15" s="1" t="s">
        <v>24</v>
      </c>
      <c r="D15">
        <v>2066.94</v>
      </c>
      <c r="E15">
        <v>394328</v>
      </c>
      <c r="F15">
        <v>170782</v>
      </c>
      <c r="G15">
        <v>99803</v>
      </c>
      <c r="H15">
        <v>6.11</v>
      </c>
      <c r="I15">
        <v>130541</v>
      </c>
      <c r="J15">
        <v>50672</v>
      </c>
      <c r="K15">
        <v>122151</v>
      </c>
      <c r="L15">
        <v>-22354</v>
      </c>
      <c r="M15">
        <v>-110749</v>
      </c>
      <c r="N15">
        <v>0.87939999999999996</v>
      </c>
      <c r="O15">
        <v>2.3694999999999999</v>
      </c>
      <c r="P15">
        <v>196.9589</v>
      </c>
      <c r="Q15">
        <v>28.292400000000001</v>
      </c>
      <c r="R15">
        <v>66.699399999999997</v>
      </c>
      <c r="S15">
        <v>25.3096</v>
      </c>
      <c r="T15">
        <v>1.3146</v>
      </c>
      <c r="U15">
        <v>196.9589</v>
      </c>
      <c r="V15">
        <v>164000</v>
      </c>
      <c r="W15">
        <v>8.0028000000000006</v>
      </c>
      <c r="X15">
        <f t="shared" si="0"/>
        <v>7.7937876041846058E-2</v>
      </c>
    </row>
    <row r="16" spans="1:24" x14ac:dyDescent="0.3">
      <c r="A16">
        <v>2009</v>
      </c>
      <c r="B16" s="1" t="s">
        <v>25</v>
      </c>
      <c r="C16" s="1" t="s">
        <v>26</v>
      </c>
      <c r="D16">
        <v>4.04</v>
      </c>
      <c r="E16">
        <v>75447</v>
      </c>
      <c r="F16">
        <v>18614</v>
      </c>
      <c r="G16">
        <v>-12244</v>
      </c>
      <c r="H16">
        <v>-90.48</v>
      </c>
      <c r="I16">
        <v>27765</v>
      </c>
      <c r="J16">
        <v>98076</v>
      </c>
      <c r="K16">
        <v>18584</v>
      </c>
      <c r="L16">
        <v>5778</v>
      </c>
      <c r="M16">
        <v>-28997</v>
      </c>
      <c r="N16">
        <v>1</v>
      </c>
      <c r="O16">
        <v>1.1552</v>
      </c>
      <c r="P16">
        <v>-45.306100000000001</v>
      </c>
      <c r="Q16">
        <v>-1.5123</v>
      </c>
      <c r="R16">
        <v>-6.0640999999999998</v>
      </c>
      <c r="S16">
        <v>-16.2286</v>
      </c>
      <c r="T16">
        <v>137.3287</v>
      </c>
      <c r="U16">
        <v>-13.950699999999999</v>
      </c>
      <c r="V16">
        <v>96000</v>
      </c>
      <c r="W16">
        <v>-0.35549999999999998</v>
      </c>
      <c r="X16" t="str">
        <f t="shared" si="0"/>
        <v/>
      </c>
    </row>
    <row r="17" spans="1:24" x14ac:dyDescent="0.3">
      <c r="A17">
        <v>2010</v>
      </c>
      <c r="B17" s="1" t="s">
        <v>25</v>
      </c>
      <c r="C17" s="1" t="s">
        <v>26</v>
      </c>
      <c r="D17">
        <v>7.79</v>
      </c>
      <c r="E17">
        <v>72829</v>
      </c>
      <c r="F17">
        <v>16787</v>
      </c>
      <c r="G17">
        <v>2046</v>
      </c>
      <c r="H17">
        <v>14.98</v>
      </c>
      <c r="I17">
        <v>21166</v>
      </c>
      <c r="J17">
        <v>113239</v>
      </c>
      <c r="K17">
        <v>16597</v>
      </c>
      <c r="L17">
        <v>-9912</v>
      </c>
      <c r="M17">
        <v>-9261</v>
      </c>
      <c r="N17">
        <v>1</v>
      </c>
      <c r="O17">
        <v>0.75480000000000003</v>
      </c>
      <c r="P17">
        <v>32.126199999999997</v>
      </c>
      <c r="Q17">
        <v>1.9393</v>
      </c>
      <c r="R17">
        <v>6.6699000000000002</v>
      </c>
      <c r="S17">
        <v>2.8092999999999999</v>
      </c>
      <c r="T17">
        <v>-15.871499999999999</v>
      </c>
      <c r="U17">
        <v>11.704499999999999</v>
      </c>
      <c r="V17">
        <v>63000</v>
      </c>
      <c r="W17">
        <v>1.64</v>
      </c>
      <c r="X17">
        <f t="shared" si="0"/>
        <v>-3.4699855527721445E-2</v>
      </c>
    </row>
    <row r="18" spans="1:24" x14ac:dyDescent="0.3">
      <c r="A18">
        <v>2011</v>
      </c>
      <c r="B18" s="1" t="s">
        <v>25</v>
      </c>
      <c r="C18" s="1" t="s">
        <v>26</v>
      </c>
      <c r="D18">
        <v>44.06</v>
      </c>
      <c r="E18">
        <v>65105</v>
      </c>
      <c r="F18">
        <v>18692</v>
      </c>
      <c r="G18">
        <v>19810</v>
      </c>
      <c r="H18">
        <v>11.01</v>
      </c>
      <c r="I18">
        <v>15225</v>
      </c>
      <c r="J18">
        <v>102393</v>
      </c>
      <c r="K18">
        <v>-81</v>
      </c>
      <c r="L18">
        <v>36448</v>
      </c>
      <c r="M18">
        <v>-36926</v>
      </c>
      <c r="N18">
        <v>1</v>
      </c>
      <c r="O18">
        <v>0.7349</v>
      </c>
      <c r="P18">
        <v>18.4222</v>
      </c>
      <c r="Q18">
        <v>3.4106999999999998</v>
      </c>
      <c r="R18">
        <v>10.6183</v>
      </c>
      <c r="S18">
        <v>30.427800000000001</v>
      </c>
      <c r="T18">
        <v>-121.5022</v>
      </c>
      <c r="U18">
        <v>18.4222</v>
      </c>
      <c r="V18">
        <v>57000</v>
      </c>
      <c r="W18">
        <v>3.1568000000000001</v>
      </c>
      <c r="X18">
        <f t="shared" si="0"/>
        <v>-0.10605665325625781</v>
      </c>
    </row>
    <row r="19" spans="1:24" x14ac:dyDescent="0.3">
      <c r="A19">
        <v>2012</v>
      </c>
      <c r="B19" s="1" t="s">
        <v>25</v>
      </c>
      <c r="C19" s="1" t="s">
        <v>26</v>
      </c>
      <c r="D19">
        <v>52.11</v>
      </c>
      <c r="E19">
        <v>71214</v>
      </c>
      <c r="F19">
        <v>21825</v>
      </c>
      <c r="G19">
        <v>3438</v>
      </c>
      <c r="H19">
        <v>2.04</v>
      </c>
      <c r="I19">
        <v>19327</v>
      </c>
      <c r="J19">
        <v>98669</v>
      </c>
      <c r="K19">
        <v>3676</v>
      </c>
      <c r="L19">
        <v>16612</v>
      </c>
      <c r="M19">
        <v>-20564</v>
      </c>
      <c r="N19">
        <v>1</v>
      </c>
      <c r="O19">
        <v>0.49149999999999999</v>
      </c>
      <c r="P19">
        <v>3.7488999999999999</v>
      </c>
      <c r="Q19">
        <v>0.67420000000000002</v>
      </c>
      <c r="R19">
        <v>2.5133999999999999</v>
      </c>
      <c r="S19">
        <v>4.8277000000000001</v>
      </c>
      <c r="T19">
        <v>2.2237</v>
      </c>
      <c r="U19">
        <v>3.7488999999999999</v>
      </c>
      <c r="V19">
        <v>63000</v>
      </c>
      <c r="W19">
        <v>2.0693000000000001</v>
      </c>
      <c r="X19">
        <f t="shared" si="0"/>
        <v>9.3833038937101598E-2</v>
      </c>
    </row>
    <row r="20" spans="1:24" x14ac:dyDescent="0.3">
      <c r="A20">
        <v>2013</v>
      </c>
      <c r="B20" s="1" t="s">
        <v>25</v>
      </c>
      <c r="C20" s="1" t="s">
        <v>26</v>
      </c>
      <c r="D20">
        <v>75.16</v>
      </c>
      <c r="E20">
        <v>68874</v>
      </c>
      <c r="F20">
        <v>21915</v>
      </c>
      <c r="G20">
        <v>9085</v>
      </c>
      <c r="H20">
        <v>6.13</v>
      </c>
      <c r="I20">
        <v>16922</v>
      </c>
      <c r="J20">
        <v>101081</v>
      </c>
      <c r="K20">
        <v>5865</v>
      </c>
      <c r="L20">
        <v>7099</v>
      </c>
      <c r="M20">
        <v>-11758</v>
      </c>
      <c r="N20">
        <v>1</v>
      </c>
      <c r="O20">
        <v>0.41249999999999998</v>
      </c>
      <c r="P20">
        <v>8.9116999999999997</v>
      </c>
      <c r="Q20">
        <v>1.6640999999999999</v>
      </c>
      <c r="R20">
        <v>6.3093000000000004</v>
      </c>
      <c r="S20">
        <v>13.190799999999999</v>
      </c>
      <c r="T20">
        <v>1.7808999999999999</v>
      </c>
      <c r="U20">
        <v>8.9116999999999997</v>
      </c>
      <c r="V20">
        <v>64000</v>
      </c>
      <c r="W20">
        <v>1.4648000000000001</v>
      </c>
      <c r="X20">
        <f t="shared" si="0"/>
        <v>-3.2858707557502739E-2</v>
      </c>
    </row>
    <row r="21" spans="1:24" x14ac:dyDescent="0.3">
      <c r="A21">
        <v>2014</v>
      </c>
      <c r="B21" s="1" t="s">
        <v>25</v>
      </c>
      <c r="C21" s="1" t="s">
        <v>26</v>
      </c>
      <c r="D21">
        <v>78.41</v>
      </c>
      <c r="E21">
        <v>64406</v>
      </c>
      <c r="F21">
        <v>19219</v>
      </c>
      <c r="G21">
        <v>7529</v>
      </c>
      <c r="H21">
        <v>5.2</v>
      </c>
      <c r="I21">
        <v>16752</v>
      </c>
      <c r="J21">
        <v>107272</v>
      </c>
      <c r="K21">
        <v>5007</v>
      </c>
      <c r="L21">
        <v>14284</v>
      </c>
      <c r="M21">
        <v>-19788</v>
      </c>
      <c r="N21">
        <v>1</v>
      </c>
      <c r="O21">
        <v>0.29099999999999998</v>
      </c>
      <c r="P21">
        <v>7.0606</v>
      </c>
      <c r="Q21">
        <v>1.4690000000000001</v>
      </c>
      <c r="R21">
        <v>5.4690000000000003</v>
      </c>
      <c r="S21">
        <v>11.6899</v>
      </c>
      <c r="T21">
        <v>-0.50070000000000003</v>
      </c>
      <c r="U21">
        <v>7.0606</v>
      </c>
      <c r="V21">
        <v>65000</v>
      </c>
      <c r="W21">
        <v>1.6222000000000001</v>
      </c>
      <c r="X21">
        <f t="shared" si="0"/>
        <v>-6.4872085257136225E-2</v>
      </c>
    </row>
    <row r="22" spans="1:24" x14ac:dyDescent="0.3">
      <c r="A22">
        <v>2015</v>
      </c>
      <c r="B22" s="1" t="s">
        <v>25</v>
      </c>
      <c r="C22" s="1" t="s">
        <v>26</v>
      </c>
      <c r="D22">
        <v>76.66</v>
      </c>
      <c r="E22">
        <v>58327</v>
      </c>
      <c r="F22">
        <v>10565</v>
      </c>
      <c r="G22">
        <v>2196</v>
      </c>
      <c r="H22">
        <v>1.65</v>
      </c>
      <c r="I22">
        <v>9958</v>
      </c>
      <c r="J22">
        <v>90210</v>
      </c>
      <c r="K22">
        <v>2877</v>
      </c>
      <c r="L22">
        <v>8462</v>
      </c>
      <c r="M22">
        <v>-11429</v>
      </c>
      <c r="N22">
        <v>1</v>
      </c>
      <c r="O22">
        <v>0.32419999999999999</v>
      </c>
      <c r="P22">
        <v>2.4630999999999998</v>
      </c>
      <c r="Q22">
        <v>0.44719999999999999</v>
      </c>
      <c r="R22">
        <v>1.8601000000000001</v>
      </c>
      <c r="S22">
        <v>3.7650000000000001</v>
      </c>
      <c r="T22">
        <v>-1.3029999999999999</v>
      </c>
      <c r="U22">
        <v>2.4630999999999998</v>
      </c>
      <c r="V22">
        <v>66400</v>
      </c>
      <c r="W22">
        <v>0.1186</v>
      </c>
      <c r="X22">
        <f t="shared" si="0"/>
        <v>-9.4385616246933521E-2</v>
      </c>
    </row>
    <row r="23" spans="1:24" x14ac:dyDescent="0.3">
      <c r="A23">
        <v>2016</v>
      </c>
      <c r="B23" s="1" t="s">
        <v>25</v>
      </c>
      <c r="C23" s="1" t="s">
        <v>26</v>
      </c>
      <c r="D23">
        <v>67.08</v>
      </c>
      <c r="E23">
        <v>52367</v>
      </c>
      <c r="F23">
        <v>5236</v>
      </c>
      <c r="G23">
        <v>-849</v>
      </c>
      <c r="H23">
        <v>-0.78</v>
      </c>
      <c r="I23">
        <v>4805</v>
      </c>
      <c r="J23">
        <v>76858</v>
      </c>
      <c r="K23">
        <v>3502</v>
      </c>
      <c r="L23">
        <v>3252</v>
      </c>
      <c r="M23">
        <v>-6833</v>
      </c>
      <c r="N23">
        <v>1</v>
      </c>
      <c r="O23">
        <v>0.4022</v>
      </c>
      <c r="P23">
        <v>-0.33700000000000002</v>
      </c>
      <c r="Q23">
        <v>-5.1999999999999998E-2</v>
      </c>
      <c r="R23">
        <v>-0.24030000000000001</v>
      </c>
      <c r="S23">
        <v>-1.6213</v>
      </c>
      <c r="T23">
        <v>1.0537000000000001</v>
      </c>
      <c r="U23">
        <v>-0.33700000000000002</v>
      </c>
      <c r="V23">
        <v>56400</v>
      </c>
      <c r="W23">
        <v>1.2616000000000001</v>
      </c>
      <c r="X23">
        <f t="shared" si="0"/>
        <v>-0.1021825226738903</v>
      </c>
    </row>
    <row r="24" spans="1:24" x14ac:dyDescent="0.3">
      <c r="A24">
        <v>2017</v>
      </c>
      <c r="B24" s="1" t="s">
        <v>25</v>
      </c>
      <c r="C24" s="1" t="s">
        <v>26</v>
      </c>
      <c r="D24">
        <v>53.56</v>
      </c>
      <c r="E24">
        <v>49520</v>
      </c>
      <c r="F24">
        <v>6849</v>
      </c>
      <c r="G24">
        <v>-6084</v>
      </c>
      <c r="H24">
        <v>-6.54</v>
      </c>
      <c r="I24">
        <v>6435</v>
      </c>
      <c r="J24">
        <v>65708</v>
      </c>
      <c r="K24">
        <v>-7818</v>
      </c>
      <c r="L24">
        <v>14041</v>
      </c>
      <c r="M24">
        <v>-5697</v>
      </c>
      <c r="N24">
        <v>1</v>
      </c>
      <c r="O24">
        <v>0.48149999999999998</v>
      </c>
      <c r="P24">
        <v>-9.2225999999999999</v>
      </c>
      <c r="Q24">
        <v>-1.2161</v>
      </c>
      <c r="R24">
        <v>-6.2251000000000003</v>
      </c>
      <c r="S24">
        <v>-12.2859</v>
      </c>
      <c r="T24">
        <v>-11.611000000000001</v>
      </c>
      <c r="U24">
        <v>-9.2225999999999999</v>
      </c>
      <c r="V24">
        <v>49800</v>
      </c>
      <c r="W24">
        <v>2.1301000000000001</v>
      </c>
      <c r="X24">
        <f t="shared" si="0"/>
        <v>-5.4366299387018542E-2</v>
      </c>
    </row>
    <row r="25" spans="1:24" x14ac:dyDescent="0.3">
      <c r="A25">
        <v>2018</v>
      </c>
      <c r="B25" s="1" t="s">
        <v>25</v>
      </c>
      <c r="C25" s="1" t="s">
        <v>26</v>
      </c>
      <c r="D25">
        <v>34.86</v>
      </c>
      <c r="E25">
        <v>47389</v>
      </c>
      <c r="F25">
        <v>6921</v>
      </c>
      <c r="G25">
        <v>-6</v>
      </c>
      <c r="H25">
        <v>-0.01</v>
      </c>
      <c r="I25">
        <v>6897</v>
      </c>
      <c r="J25">
        <v>57309</v>
      </c>
      <c r="K25">
        <v>-394</v>
      </c>
      <c r="L25">
        <v>-223</v>
      </c>
      <c r="M25">
        <v>1249</v>
      </c>
      <c r="N25">
        <v>1</v>
      </c>
      <c r="O25">
        <v>0.60270000000000001</v>
      </c>
      <c r="P25">
        <v>0.1797</v>
      </c>
      <c r="Q25">
        <v>2.0899999999999998E-2</v>
      </c>
      <c r="R25">
        <v>0.11210000000000001</v>
      </c>
      <c r="S25">
        <v>-1.2699999999999999E-2</v>
      </c>
      <c r="T25">
        <v>7.9684999999999997</v>
      </c>
      <c r="U25">
        <v>0.1797</v>
      </c>
      <c r="V25">
        <v>49600</v>
      </c>
      <c r="W25">
        <v>2.4426000000000001</v>
      </c>
      <c r="X25">
        <f t="shared" si="0"/>
        <v>-4.3033117932148625E-2</v>
      </c>
    </row>
    <row r="26" spans="1:24" x14ac:dyDescent="0.3">
      <c r="A26">
        <v>2019</v>
      </c>
      <c r="B26" s="1" t="s">
        <v>25</v>
      </c>
      <c r="C26" s="1" t="s">
        <v>26</v>
      </c>
      <c r="D26">
        <v>44.65</v>
      </c>
      <c r="E26">
        <v>49746</v>
      </c>
      <c r="F26">
        <v>11975</v>
      </c>
      <c r="G26">
        <v>3326</v>
      </c>
      <c r="H26">
        <v>3.74</v>
      </c>
      <c r="I26">
        <v>11817</v>
      </c>
      <c r="J26">
        <v>67427</v>
      </c>
      <c r="K26">
        <v>-1807</v>
      </c>
      <c r="L26">
        <v>-5475</v>
      </c>
      <c r="M26">
        <v>7258</v>
      </c>
      <c r="N26">
        <v>1</v>
      </c>
      <c r="O26">
        <v>0.52429999999999999</v>
      </c>
      <c r="P26">
        <v>6.1561000000000003</v>
      </c>
      <c r="Q26">
        <v>0.78490000000000004</v>
      </c>
      <c r="R26">
        <v>4.0096999999999996</v>
      </c>
      <c r="S26">
        <v>6.6859999999999999</v>
      </c>
      <c r="T26">
        <v>-1.5986</v>
      </c>
      <c r="U26">
        <v>6.1117999999999997</v>
      </c>
      <c r="V26">
        <v>46000</v>
      </c>
      <c r="W26">
        <v>1.8122</v>
      </c>
      <c r="X26">
        <f t="shared" si="0"/>
        <v>4.973728080356201E-2</v>
      </c>
    </row>
    <row r="27" spans="1:24" x14ac:dyDescent="0.3">
      <c r="A27">
        <v>2020</v>
      </c>
      <c r="B27" s="1" t="s">
        <v>25</v>
      </c>
      <c r="C27" s="1" t="s">
        <v>26</v>
      </c>
      <c r="D27">
        <v>32.619999999999997</v>
      </c>
      <c r="E27">
        <v>43736</v>
      </c>
      <c r="F27">
        <v>6912</v>
      </c>
      <c r="G27">
        <v>-5973</v>
      </c>
      <c r="H27">
        <v>-6.88</v>
      </c>
      <c r="I27">
        <v>6821</v>
      </c>
      <c r="J27">
        <v>67199</v>
      </c>
      <c r="K27">
        <v>1038</v>
      </c>
      <c r="L27">
        <v>-6202</v>
      </c>
      <c r="M27">
        <v>5058</v>
      </c>
      <c r="N27">
        <v>1</v>
      </c>
      <c r="O27">
        <v>0.55859999999999999</v>
      </c>
      <c r="P27">
        <v>-8.7432999999999996</v>
      </c>
      <c r="Q27">
        <v>-0.99460000000000004</v>
      </c>
      <c r="R27">
        <v>-5.5693999999999999</v>
      </c>
      <c r="S27">
        <v>-13.6569</v>
      </c>
      <c r="T27">
        <v>3.2256</v>
      </c>
      <c r="U27">
        <v>-8.6801999999999992</v>
      </c>
      <c r="V27">
        <v>45000</v>
      </c>
      <c r="W27">
        <v>1.2336</v>
      </c>
      <c r="X27">
        <f t="shared" si="0"/>
        <v>-0.12081373376753909</v>
      </c>
    </row>
    <row r="28" spans="1:24" x14ac:dyDescent="0.3">
      <c r="A28">
        <v>2021</v>
      </c>
      <c r="B28" s="1" t="s">
        <v>25</v>
      </c>
      <c r="C28" s="1" t="s">
        <v>26</v>
      </c>
      <c r="D28">
        <v>47.21</v>
      </c>
      <c r="E28">
        <v>52057</v>
      </c>
      <c r="F28">
        <v>15322</v>
      </c>
      <c r="G28">
        <v>9359</v>
      </c>
      <c r="H28">
        <v>10.82</v>
      </c>
      <c r="I28">
        <v>15382</v>
      </c>
      <c r="J28">
        <v>68912</v>
      </c>
      <c r="K28">
        <v>6279</v>
      </c>
      <c r="L28">
        <v>-3280</v>
      </c>
      <c r="M28">
        <v>-3735</v>
      </c>
      <c r="N28">
        <v>1</v>
      </c>
      <c r="O28">
        <v>0.43769999999999998</v>
      </c>
      <c r="P28">
        <v>14.5016</v>
      </c>
      <c r="Q28">
        <v>1.6646000000000001</v>
      </c>
      <c r="R28">
        <v>10.015700000000001</v>
      </c>
      <c r="S28">
        <v>17.978400000000001</v>
      </c>
      <c r="T28">
        <v>6.0658000000000003</v>
      </c>
      <c r="U28">
        <v>14.3995</v>
      </c>
      <c r="V28">
        <v>36600</v>
      </c>
      <c r="W28">
        <v>4.6978999999999997</v>
      </c>
      <c r="X28">
        <f t="shared" si="0"/>
        <v>0.19025516736784343</v>
      </c>
    </row>
    <row r="29" spans="1:24" x14ac:dyDescent="0.3">
      <c r="A29">
        <v>2022</v>
      </c>
      <c r="B29" s="1" t="s">
        <v>25</v>
      </c>
      <c r="C29" s="1" t="s">
        <v>26</v>
      </c>
      <c r="D29">
        <v>46.99</v>
      </c>
      <c r="E29">
        <v>56437</v>
      </c>
      <c r="F29">
        <v>20762</v>
      </c>
      <c r="G29">
        <v>10247</v>
      </c>
      <c r="H29">
        <v>13.01</v>
      </c>
      <c r="I29">
        <v>20640</v>
      </c>
      <c r="J29">
        <v>42235</v>
      </c>
      <c r="K29">
        <v>4207</v>
      </c>
      <c r="L29">
        <v>-3626</v>
      </c>
      <c r="M29">
        <v>-676</v>
      </c>
      <c r="N29">
        <v>1</v>
      </c>
      <c r="O29">
        <v>0.64349999999999996</v>
      </c>
      <c r="P29">
        <v>27.008400000000002</v>
      </c>
      <c r="Q29">
        <v>2.1410999999999998</v>
      </c>
      <c r="R29">
        <v>16.244599999999998</v>
      </c>
      <c r="S29">
        <v>18.156500000000001</v>
      </c>
      <c r="T29">
        <v>-1.9207000000000001</v>
      </c>
      <c r="U29">
        <v>26.6982</v>
      </c>
      <c r="V29">
        <v>26200</v>
      </c>
      <c r="W29">
        <v>8.0028000000000006</v>
      </c>
      <c r="X29">
        <f t="shared" si="0"/>
        <v>8.4138540446049528E-2</v>
      </c>
    </row>
    <row r="30" spans="1:24" x14ac:dyDescent="0.3">
      <c r="A30">
        <v>2009</v>
      </c>
      <c r="B30" s="1" t="s">
        <v>27</v>
      </c>
      <c r="C30" s="1" t="s">
        <v>28</v>
      </c>
      <c r="D30">
        <v>58.24</v>
      </c>
      <c r="E30">
        <v>24509</v>
      </c>
      <c r="F30">
        <v>5531</v>
      </c>
      <c r="G30">
        <v>902</v>
      </c>
      <c r="H30">
        <v>0.10199999999999999</v>
      </c>
      <c r="I30">
        <v>1507</v>
      </c>
      <c r="J30">
        <v>5257</v>
      </c>
      <c r="K30">
        <v>3293</v>
      </c>
      <c r="L30">
        <v>-2337</v>
      </c>
      <c r="M30">
        <v>-280</v>
      </c>
      <c r="N30">
        <v>1.3304</v>
      </c>
      <c r="O30">
        <v>0.20069999999999999</v>
      </c>
      <c r="P30">
        <v>17.158100000000001</v>
      </c>
      <c r="Q30">
        <v>6.5301</v>
      </c>
      <c r="R30">
        <v>17.158100000000001</v>
      </c>
      <c r="S30">
        <v>3.6802999999999999</v>
      </c>
      <c r="T30">
        <v>0.33029999999999998</v>
      </c>
      <c r="U30">
        <v>22.421099999999999</v>
      </c>
      <c r="V30">
        <v>24300</v>
      </c>
      <c r="W30">
        <v>-0.35549999999999998</v>
      </c>
      <c r="X30" t="str">
        <f t="shared" si="0"/>
        <v/>
      </c>
    </row>
    <row r="31" spans="1:24" x14ac:dyDescent="0.3">
      <c r="A31">
        <v>2010</v>
      </c>
      <c r="B31" s="1" t="s">
        <v>27</v>
      </c>
      <c r="C31" s="1" t="s">
        <v>28</v>
      </c>
      <c r="D31">
        <v>80.790000000000006</v>
      </c>
      <c r="E31">
        <v>34204</v>
      </c>
      <c r="F31">
        <v>7643</v>
      </c>
      <c r="G31">
        <v>1152</v>
      </c>
      <c r="H31">
        <v>0.1265</v>
      </c>
      <c r="I31">
        <v>1974</v>
      </c>
      <c r="J31">
        <v>6864</v>
      </c>
      <c r="K31">
        <v>3495</v>
      </c>
      <c r="L31">
        <v>-3360</v>
      </c>
      <c r="M31">
        <v>181</v>
      </c>
      <c r="N31">
        <v>1.3253999999999999</v>
      </c>
      <c r="O31">
        <v>0.22739999999999999</v>
      </c>
      <c r="P31">
        <v>16.783200000000001</v>
      </c>
      <c r="Q31">
        <v>6.1285999999999996</v>
      </c>
      <c r="R31">
        <v>13.6736</v>
      </c>
      <c r="S31">
        <v>3.3679999999999999</v>
      </c>
      <c r="T31">
        <v>-5.4399999999999997E-2</v>
      </c>
      <c r="U31">
        <v>20.888500000000001</v>
      </c>
      <c r="V31">
        <v>33700</v>
      </c>
      <c r="W31">
        <v>1.64</v>
      </c>
      <c r="X31">
        <f t="shared" si="0"/>
        <v>0.3955689746623689</v>
      </c>
    </row>
    <row r="32" spans="1:24" x14ac:dyDescent="0.3">
      <c r="A32">
        <v>2011</v>
      </c>
      <c r="B32" s="1" t="s">
        <v>27</v>
      </c>
      <c r="C32" s="1" t="s">
        <v>28</v>
      </c>
      <c r="D32">
        <v>78.72</v>
      </c>
      <c r="E32">
        <v>48077</v>
      </c>
      <c r="F32">
        <v>10789</v>
      </c>
      <c r="G32">
        <v>631</v>
      </c>
      <c r="H32">
        <v>6.8500000000000005E-2</v>
      </c>
      <c r="I32">
        <v>1945</v>
      </c>
      <c r="J32">
        <v>7757</v>
      </c>
      <c r="K32">
        <v>3903</v>
      </c>
      <c r="L32">
        <v>-1930</v>
      </c>
      <c r="M32">
        <v>-482</v>
      </c>
      <c r="N32">
        <v>1.1740999999999999</v>
      </c>
      <c r="O32">
        <v>3.2899999999999999E-2</v>
      </c>
      <c r="P32">
        <v>8.1346000000000007</v>
      </c>
      <c r="Q32">
        <v>2.4962</v>
      </c>
      <c r="R32">
        <v>7.8757000000000001</v>
      </c>
      <c r="S32">
        <v>1.3125</v>
      </c>
      <c r="T32">
        <v>-4.9000000000000002E-2</v>
      </c>
      <c r="U32">
        <v>10.8756</v>
      </c>
      <c r="V32">
        <v>56200</v>
      </c>
      <c r="W32">
        <v>3.1568000000000001</v>
      </c>
      <c r="X32">
        <f t="shared" si="0"/>
        <v>0.40559583674424043</v>
      </c>
    </row>
    <row r="33" spans="1:24" x14ac:dyDescent="0.3">
      <c r="A33">
        <v>2012</v>
      </c>
      <c r="B33" s="1" t="s">
        <v>27</v>
      </c>
      <c r="C33" s="1" t="s">
        <v>28</v>
      </c>
      <c r="D33">
        <v>113.63</v>
      </c>
      <c r="E33">
        <v>61093</v>
      </c>
      <c r="F33">
        <v>15122</v>
      </c>
      <c r="G33">
        <v>-39</v>
      </c>
      <c r="H33">
        <v>-4.4999999999999997E-3</v>
      </c>
      <c r="I33">
        <v>2835</v>
      </c>
      <c r="J33">
        <v>8192</v>
      </c>
      <c r="K33">
        <v>4180</v>
      </c>
      <c r="L33">
        <v>-3595</v>
      </c>
      <c r="M33">
        <v>2259</v>
      </c>
      <c r="N33">
        <v>1.1207</v>
      </c>
      <c r="O33">
        <v>0.3765</v>
      </c>
      <c r="P33">
        <v>-0.47610000000000002</v>
      </c>
      <c r="Q33">
        <v>-0.1198</v>
      </c>
      <c r="R33">
        <v>-0.34589999999999999</v>
      </c>
      <c r="S33">
        <v>-6.3799999999999996E-2</v>
      </c>
      <c r="T33">
        <v>-0.18329999999999999</v>
      </c>
      <c r="U33">
        <v>-0.6915</v>
      </c>
      <c r="V33">
        <v>88400</v>
      </c>
      <c r="W33">
        <v>2.0693000000000001</v>
      </c>
      <c r="X33">
        <f t="shared" si="0"/>
        <v>0.27073236682821306</v>
      </c>
    </row>
    <row r="34" spans="1:24" x14ac:dyDescent="0.3">
      <c r="A34">
        <v>2013</v>
      </c>
      <c r="B34" s="1" t="s">
        <v>27</v>
      </c>
      <c r="C34" s="1" t="s">
        <v>28</v>
      </c>
      <c r="D34">
        <v>182.54</v>
      </c>
      <c r="E34">
        <v>74452</v>
      </c>
      <c r="F34">
        <v>20271</v>
      </c>
      <c r="G34">
        <v>274</v>
      </c>
      <c r="H34">
        <v>2.9499999999999998E-2</v>
      </c>
      <c r="I34">
        <v>3998</v>
      </c>
      <c r="J34">
        <v>9746</v>
      </c>
      <c r="K34">
        <v>5475</v>
      </c>
      <c r="L34">
        <v>-4276</v>
      </c>
      <c r="M34">
        <v>-539</v>
      </c>
      <c r="N34">
        <v>1.0716000000000001</v>
      </c>
      <c r="O34">
        <v>0.32740000000000002</v>
      </c>
      <c r="P34">
        <v>2.8113999999999999</v>
      </c>
      <c r="Q34">
        <v>0.68230000000000002</v>
      </c>
      <c r="R34">
        <v>2.1179999999999999</v>
      </c>
      <c r="S34">
        <v>0.36799999999999999</v>
      </c>
      <c r="T34">
        <v>0.17480000000000001</v>
      </c>
      <c r="U34">
        <v>3.8641000000000001</v>
      </c>
      <c r="V34">
        <v>117300</v>
      </c>
      <c r="W34">
        <v>1.4648000000000001</v>
      </c>
      <c r="X34">
        <f t="shared" si="0"/>
        <v>0.21866662301736697</v>
      </c>
    </row>
    <row r="35" spans="1:24" x14ac:dyDescent="0.3">
      <c r="A35">
        <v>2014</v>
      </c>
      <c r="B35" s="1" t="s">
        <v>27</v>
      </c>
      <c r="C35" s="1" t="s">
        <v>28</v>
      </c>
      <c r="D35">
        <v>143.69999999999999</v>
      </c>
      <c r="E35">
        <v>88988</v>
      </c>
      <c r="F35">
        <v>26236</v>
      </c>
      <c r="G35">
        <v>-241</v>
      </c>
      <c r="H35">
        <v>-2.5999999999999999E-2</v>
      </c>
      <c r="I35">
        <v>4924</v>
      </c>
      <c r="J35">
        <v>10741</v>
      </c>
      <c r="K35">
        <v>6842</v>
      </c>
      <c r="L35">
        <v>-5065</v>
      </c>
      <c r="M35">
        <v>4432</v>
      </c>
      <c r="N35">
        <v>1.1153</v>
      </c>
      <c r="O35">
        <v>0.76949999999999996</v>
      </c>
      <c r="P35">
        <v>-2.2437</v>
      </c>
      <c r="Q35">
        <v>-0.44219999999999998</v>
      </c>
      <c r="R35">
        <v>-1.268</v>
      </c>
      <c r="S35">
        <v>-0.27079999999999999</v>
      </c>
      <c r="T35">
        <v>-7.4999999999999997E-3</v>
      </c>
      <c r="U35">
        <v>-3.2471000000000001</v>
      </c>
      <c r="V35">
        <v>154100</v>
      </c>
      <c r="W35">
        <v>1.6222000000000001</v>
      </c>
      <c r="X35">
        <f t="shared" si="0"/>
        <v>0.19523988610111212</v>
      </c>
    </row>
    <row r="36" spans="1:24" x14ac:dyDescent="0.3">
      <c r="A36">
        <v>2015</v>
      </c>
      <c r="B36" s="1" t="s">
        <v>27</v>
      </c>
      <c r="C36" s="1" t="s">
        <v>28</v>
      </c>
      <c r="D36">
        <v>316.83</v>
      </c>
      <c r="E36">
        <v>107006</v>
      </c>
      <c r="F36">
        <v>35355</v>
      </c>
      <c r="G36">
        <v>596</v>
      </c>
      <c r="H36">
        <v>6.25E-2</v>
      </c>
      <c r="I36">
        <v>8514</v>
      </c>
      <c r="J36">
        <v>13384</v>
      </c>
      <c r="K36">
        <v>12039</v>
      </c>
      <c r="L36">
        <v>-6450</v>
      </c>
      <c r="M36">
        <v>-3882</v>
      </c>
      <c r="N36">
        <v>1.0536000000000001</v>
      </c>
      <c r="O36">
        <v>0.61470000000000002</v>
      </c>
      <c r="P36">
        <v>4.4531000000000001</v>
      </c>
      <c r="Q36">
        <v>0.92049999999999998</v>
      </c>
      <c r="R36">
        <v>2.7578999999999998</v>
      </c>
      <c r="S36">
        <v>0.55700000000000005</v>
      </c>
      <c r="T36">
        <v>0.56999999999999995</v>
      </c>
      <c r="U36">
        <v>6.1921999999999997</v>
      </c>
      <c r="V36">
        <v>230800</v>
      </c>
      <c r="W36">
        <v>0.1186</v>
      </c>
      <c r="X36">
        <f t="shared" si="0"/>
        <v>0.20247673843664316</v>
      </c>
    </row>
    <row r="37" spans="1:24" x14ac:dyDescent="0.3">
      <c r="A37">
        <v>2016</v>
      </c>
      <c r="B37" s="1" t="s">
        <v>27</v>
      </c>
      <c r="C37" s="1" t="s">
        <v>28</v>
      </c>
      <c r="D37">
        <v>356.31</v>
      </c>
      <c r="E37">
        <v>135987</v>
      </c>
      <c r="F37">
        <v>47722</v>
      </c>
      <c r="G37">
        <v>2371</v>
      </c>
      <c r="H37">
        <v>0.245</v>
      </c>
      <c r="I37">
        <v>12302</v>
      </c>
      <c r="J37">
        <v>19285</v>
      </c>
      <c r="K37">
        <v>17203</v>
      </c>
      <c r="L37">
        <v>-9516</v>
      </c>
      <c r="M37">
        <v>-3716</v>
      </c>
      <c r="N37">
        <v>1.0448</v>
      </c>
      <c r="O37">
        <v>0.39900000000000002</v>
      </c>
      <c r="P37">
        <v>12.294499999999999</v>
      </c>
      <c r="Q37">
        <v>2.8429000000000002</v>
      </c>
      <c r="R37">
        <v>8.7882999999999996</v>
      </c>
      <c r="S37">
        <v>1.7435</v>
      </c>
      <c r="T37">
        <v>0.30030000000000001</v>
      </c>
      <c r="U37">
        <v>15.2958</v>
      </c>
      <c r="V37">
        <v>341400</v>
      </c>
      <c r="W37">
        <v>1.2616000000000001</v>
      </c>
      <c r="X37">
        <f t="shared" si="0"/>
        <v>0.27083528026465803</v>
      </c>
    </row>
    <row r="38" spans="1:24" x14ac:dyDescent="0.3">
      <c r="A38">
        <v>2017</v>
      </c>
      <c r="B38" s="1" t="s">
        <v>27</v>
      </c>
      <c r="C38" s="1" t="s">
        <v>28</v>
      </c>
      <c r="D38">
        <v>563.54</v>
      </c>
      <c r="E38">
        <v>177866</v>
      </c>
      <c r="F38">
        <v>65932</v>
      </c>
      <c r="G38">
        <v>3033</v>
      </c>
      <c r="H38">
        <v>0.3075</v>
      </c>
      <c r="I38">
        <v>15584</v>
      </c>
      <c r="J38">
        <v>27709</v>
      </c>
      <c r="K38">
        <v>18365</v>
      </c>
      <c r="L38">
        <v>-27084</v>
      </c>
      <c r="M38">
        <v>9928</v>
      </c>
      <c r="N38">
        <v>1.04</v>
      </c>
      <c r="O38">
        <v>0.89300000000000002</v>
      </c>
      <c r="P38">
        <v>10.9459</v>
      </c>
      <c r="Q38">
        <v>2.3098000000000001</v>
      </c>
      <c r="R38">
        <v>5.7824</v>
      </c>
      <c r="S38">
        <v>1.7052</v>
      </c>
      <c r="T38">
        <v>-0.2387</v>
      </c>
      <c r="U38">
        <v>21.122599999999998</v>
      </c>
      <c r="V38">
        <v>566000</v>
      </c>
      <c r="W38">
        <v>2.1301000000000001</v>
      </c>
      <c r="X38">
        <f t="shared" si="0"/>
        <v>0.30796326119408474</v>
      </c>
    </row>
    <row r="39" spans="1:24" x14ac:dyDescent="0.3">
      <c r="A39">
        <v>2018</v>
      </c>
      <c r="B39" s="1" t="s">
        <v>27</v>
      </c>
      <c r="C39" s="1" t="s">
        <v>28</v>
      </c>
      <c r="D39">
        <v>734.42</v>
      </c>
      <c r="E39">
        <v>232887</v>
      </c>
      <c r="F39">
        <v>93731</v>
      </c>
      <c r="G39">
        <v>10073</v>
      </c>
      <c r="H39">
        <v>1.0069999999999999</v>
      </c>
      <c r="I39">
        <v>27762</v>
      </c>
      <c r="J39">
        <v>43549</v>
      </c>
      <c r="K39">
        <v>30723</v>
      </c>
      <c r="L39">
        <v>-12369</v>
      </c>
      <c r="M39">
        <v>-7686</v>
      </c>
      <c r="N39">
        <v>1.0981000000000001</v>
      </c>
      <c r="O39">
        <v>0.53949999999999998</v>
      </c>
      <c r="P39">
        <v>23.130299999999998</v>
      </c>
      <c r="Q39">
        <v>6.1931000000000003</v>
      </c>
      <c r="R39">
        <v>15.0245</v>
      </c>
      <c r="S39">
        <v>4.3253000000000004</v>
      </c>
      <c r="T39">
        <v>1.0974999999999999</v>
      </c>
      <c r="U39">
        <v>34.7333</v>
      </c>
      <c r="V39">
        <v>647500</v>
      </c>
      <c r="W39">
        <v>2.4426000000000001</v>
      </c>
      <c r="X39">
        <f t="shared" si="0"/>
        <v>0.3093396152159491</v>
      </c>
    </row>
    <row r="40" spans="1:24" x14ac:dyDescent="0.3">
      <c r="A40">
        <v>2019</v>
      </c>
      <c r="B40" s="1" t="s">
        <v>27</v>
      </c>
      <c r="C40" s="1" t="s">
        <v>28</v>
      </c>
      <c r="D40">
        <v>916.15</v>
      </c>
      <c r="E40">
        <v>280522</v>
      </c>
      <c r="F40">
        <v>114986</v>
      </c>
      <c r="G40">
        <v>11588</v>
      </c>
      <c r="H40">
        <v>1.1505000000000001</v>
      </c>
      <c r="I40">
        <v>36330</v>
      </c>
      <c r="J40">
        <v>62060</v>
      </c>
      <c r="K40">
        <v>38514</v>
      </c>
      <c r="L40">
        <v>-24281</v>
      </c>
      <c r="M40">
        <v>-10066</v>
      </c>
      <c r="N40">
        <v>1.097</v>
      </c>
      <c r="O40">
        <v>0.37730000000000002</v>
      </c>
      <c r="P40">
        <v>18.6723</v>
      </c>
      <c r="Q40">
        <v>5.1445999999999996</v>
      </c>
      <c r="R40">
        <v>13.5573</v>
      </c>
      <c r="S40">
        <v>4.1308999999999996</v>
      </c>
      <c r="T40">
        <v>0.622</v>
      </c>
      <c r="U40">
        <v>24.495799999999999</v>
      </c>
      <c r="V40">
        <v>798000</v>
      </c>
      <c r="W40">
        <v>1.8122</v>
      </c>
      <c r="X40">
        <f t="shared" si="0"/>
        <v>0.2045412582067698</v>
      </c>
    </row>
    <row r="41" spans="1:24" x14ac:dyDescent="0.3">
      <c r="A41">
        <v>2020</v>
      </c>
      <c r="B41" s="1" t="s">
        <v>27</v>
      </c>
      <c r="C41" s="1" t="s">
        <v>28</v>
      </c>
      <c r="D41">
        <v>1634.16</v>
      </c>
      <c r="E41">
        <v>386064</v>
      </c>
      <c r="F41">
        <v>152757</v>
      </c>
      <c r="G41">
        <v>21331</v>
      </c>
      <c r="H41">
        <v>2.09</v>
      </c>
      <c r="I41">
        <v>48079</v>
      </c>
      <c r="J41">
        <v>93404</v>
      </c>
      <c r="K41">
        <v>66064</v>
      </c>
      <c r="L41">
        <v>-59611</v>
      </c>
      <c r="M41">
        <v>-1104</v>
      </c>
      <c r="N41">
        <v>1.0502</v>
      </c>
      <c r="O41">
        <v>0.34060000000000001</v>
      </c>
      <c r="P41">
        <v>22.837399999999999</v>
      </c>
      <c r="Q41">
        <v>6.6410999999999998</v>
      </c>
      <c r="R41">
        <v>17.034800000000001</v>
      </c>
      <c r="S41">
        <v>5.5251999999999999</v>
      </c>
      <c r="T41">
        <v>0.4798</v>
      </c>
      <c r="U41">
        <v>27.212399999999999</v>
      </c>
      <c r="V41">
        <v>1298000</v>
      </c>
      <c r="W41">
        <v>1.2336</v>
      </c>
      <c r="X41">
        <f t="shared" si="0"/>
        <v>0.37623430604373276</v>
      </c>
    </row>
    <row r="42" spans="1:24" x14ac:dyDescent="0.3">
      <c r="A42">
        <v>2021</v>
      </c>
      <c r="B42" s="1" t="s">
        <v>27</v>
      </c>
      <c r="C42" s="1" t="s">
        <v>28</v>
      </c>
      <c r="D42">
        <v>1691</v>
      </c>
      <c r="E42">
        <v>469822</v>
      </c>
      <c r="F42">
        <v>197478</v>
      </c>
      <c r="G42">
        <v>33364</v>
      </c>
      <c r="H42">
        <v>3.24</v>
      </c>
      <c r="I42">
        <v>59312</v>
      </c>
      <c r="J42">
        <v>138245</v>
      </c>
      <c r="K42">
        <v>46327</v>
      </c>
      <c r="L42">
        <v>-58154</v>
      </c>
      <c r="M42">
        <v>6291</v>
      </c>
      <c r="N42">
        <v>1.1357999999999999</v>
      </c>
      <c r="O42">
        <v>0.35260000000000002</v>
      </c>
      <c r="P42">
        <v>24.134</v>
      </c>
      <c r="Q42">
        <v>7.9333999999999998</v>
      </c>
      <c r="R42">
        <v>17.8428</v>
      </c>
      <c r="S42">
        <v>7.1013999999999999</v>
      </c>
      <c r="T42">
        <v>-3.9226000000000001</v>
      </c>
      <c r="U42">
        <v>27.152999999999999</v>
      </c>
      <c r="V42">
        <v>1608000</v>
      </c>
      <c r="W42">
        <v>4.6978999999999997</v>
      </c>
      <c r="X42">
        <f t="shared" si="0"/>
        <v>0.21695366571345684</v>
      </c>
    </row>
    <row r="43" spans="1:24" x14ac:dyDescent="0.3">
      <c r="A43">
        <v>2022</v>
      </c>
      <c r="B43" s="1" t="s">
        <v>27</v>
      </c>
      <c r="C43" s="1" t="s">
        <v>28</v>
      </c>
      <c r="D43">
        <v>856.94</v>
      </c>
      <c r="E43">
        <v>513983</v>
      </c>
      <c r="F43">
        <v>225152</v>
      </c>
      <c r="G43">
        <v>-2722</v>
      </c>
      <c r="H43">
        <v>-0.27</v>
      </c>
      <c r="I43">
        <v>54169</v>
      </c>
      <c r="J43">
        <v>146043</v>
      </c>
      <c r="K43">
        <v>46752</v>
      </c>
      <c r="L43">
        <v>-37601</v>
      </c>
      <c r="M43">
        <v>9718</v>
      </c>
      <c r="N43">
        <v>0.9446</v>
      </c>
      <c r="O43">
        <v>0.45979999999999999</v>
      </c>
      <c r="P43">
        <v>-1.8637999999999999</v>
      </c>
      <c r="Q43">
        <v>-0.58830000000000005</v>
      </c>
      <c r="R43">
        <v>-1.2767999999999999</v>
      </c>
      <c r="S43">
        <v>-0.52959999999999996</v>
      </c>
      <c r="T43">
        <v>-0.25459999999999999</v>
      </c>
      <c r="U43">
        <v>-2.1644999999999999</v>
      </c>
      <c r="V43">
        <v>1541000</v>
      </c>
      <c r="W43">
        <v>8.0028000000000006</v>
      </c>
      <c r="X43">
        <f t="shared" si="0"/>
        <v>9.3995172639850841E-2</v>
      </c>
    </row>
    <row r="44" spans="1:24" x14ac:dyDescent="0.3">
      <c r="A44">
        <v>2009</v>
      </c>
      <c r="B44" s="1" t="s">
        <v>29</v>
      </c>
      <c r="C44" s="1" t="s">
        <v>26</v>
      </c>
      <c r="D44">
        <v>36.840000000000003</v>
      </c>
      <c r="E44">
        <v>45992.04</v>
      </c>
      <c r="F44">
        <v>45992.04</v>
      </c>
      <c r="G44">
        <v>5497.87</v>
      </c>
      <c r="H44">
        <v>5.12</v>
      </c>
      <c r="I44">
        <v>1</v>
      </c>
      <c r="J44">
        <v>91570.7</v>
      </c>
      <c r="K44">
        <v>65523.51</v>
      </c>
      <c r="L44">
        <v>18026.64</v>
      </c>
      <c r="M44">
        <v>-1035.05</v>
      </c>
      <c r="N44">
        <v>1</v>
      </c>
      <c r="O44">
        <v>8.5152000000000001</v>
      </c>
      <c r="P44">
        <v>19.528300000000002</v>
      </c>
      <c r="Q44">
        <v>0.82820000000000005</v>
      </c>
      <c r="R44">
        <v>5.1862000000000004</v>
      </c>
      <c r="S44">
        <v>12.0558</v>
      </c>
      <c r="T44">
        <v>21.5535</v>
      </c>
      <c r="U44">
        <v>22.985099999999999</v>
      </c>
      <c r="V44">
        <v>144200</v>
      </c>
      <c r="W44">
        <v>-0.35549999999999998</v>
      </c>
      <c r="X44" t="str">
        <f t="shared" si="0"/>
        <v/>
      </c>
    </row>
    <row r="45" spans="1:24" x14ac:dyDescent="0.3">
      <c r="A45">
        <v>2010</v>
      </c>
      <c r="B45" s="1" t="s">
        <v>29</v>
      </c>
      <c r="C45" s="1" t="s">
        <v>26</v>
      </c>
      <c r="D45">
        <v>47.13</v>
      </c>
      <c r="E45">
        <v>49030.07</v>
      </c>
      <c r="F45">
        <v>49030.07</v>
      </c>
      <c r="G45">
        <v>7034.11</v>
      </c>
      <c r="H45">
        <v>1.84</v>
      </c>
      <c r="I45">
        <v>1</v>
      </c>
      <c r="J45">
        <v>96275.73</v>
      </c>
      <c r="K45">
        <v>28894.16</v>
      </c>
      <c r="L45">
        <v>-8701.0300000000007</v>
      </c>
      <c r="M45">
        <v>245.86</v>
      </c>
      <c r="N45">
        <v>1</v>
      </c>
      <c r="O45">
        <v>9.3328000000000007</v>
      </c>
      <c r="P45">
        <v>6.0555000000000003</v>
      </c>
      <c r="Q45">
        <v>0.25309999999999999</v>
      </c>
      <c r="R45">
        <v>1.5241</v>
      </c>
      <c r="S45">
        <v>14.4688</v>
      </c>
      <c r="T45">
        <v>-12.8733</v>
      </c>
      <c r="U45">
        <v>7.0387000000000004</v>
      </c>
      <c r="V45">
        <v>147500</v>
      </c>
      <c r="W45">
        <v>1.64</v>
      </c>
      <c r="X45">
        <f t="shared" si="0"/>
        <v>6.605556091880245E-2</v>
      </c>
    </row>
    <row r="46" spans="1:24" x14ac:dyDescent="0.3">
      <c r="A46">
        <v>2011</v>
      </c>
      <c r="B46" s="1" t="s">
        <v>29</v>
      </c>
      <c r="C46" s="1" t="s">
        <v>26</v>
      </c>
      <c r="D46">
        <v>33.47</v>
      </c>
      <c r="E46">
        <v>48866.82</v>
      </c>
      <c r="F46">
        <v>48866.82</v>
      </c>
      <c r="G46">
        <v>6338.98</v>
      </c>
      <c r="H46">
        <v>1.54</v>
      </c>
      <c r="I46">
        <v>1</v>
      </c>
      <c r="J46">
        <v>104600.5</v>
      </c>
      <c r="K46">
        <v>46654.34</v>
      </c>
      <c r="L46">
        <v>-3067.61</v>
      </c>
      <c r="M46">
        <v>-9563.82</v>
      </c>
      <c r="N46">
        <v>1</v>
      </c>
      <c r="O46">
        <v>7.6044999999999998</v>
      </c>
      <c r="P46">
        <v>4.6121999999999996</v>
      </c>
      <c r="Q46">
        <v>0.1923</v>
      </c>
      <c r="R46">
        <v>1.3680000000000001</v>
      </c>
      <c r="S46">
        <v>12.235200000000001</v>
      </c>
      <c r="T46">
        <v>6.1199000000000003</v>
      </c>
      <c r="U46">
        <v>5.2431999999999999</v>
      </c>
      <c r="V46">
        <v>141100</v>
      </c>
      <c r="W46">
        <v>3.1568000000000001</v>
      </c>
      <c r="X46">
        <f t="shared" si="0"/>
        <v>-3.3295893723994277E-3</v>
      </c>
    </row>
    <row r="47" spans="1:24" x14ac:dyDescent="0.3">
      <c r="A47">
        <v>2012</v>
      </c>
      <c r="B47" s="1" t="s">
        <v>29</v>
      </c>
      <c r="C47" s="1" t="s">
        <v>26</v>
      </c>
      <c r="D47">
        <v>52.82</v>
      </c>
      <c r="E47">
        <v>46036.06</v>
      </c>
      <c r="F47">
        <v>46036.06</v>
      </c>
      <c r="G47">
        <v>-1650.0889999999999</v>
      </c>
      <c r="H47">
        <v>-0.53900000000000003</v>
      </c>
      <c r="I47">
        <v>1</v>
      </c>
      <c r="J47">
        <v>99793.14</v>
      </c>
      <c r="K47">
        <v>-21741.23</v>
      </c>
      <c r="L47">
        <v>-11252.63</v>
      </c>
      <c r="M47">
        <v>-4504.8540000000003</v>
      </c>
      <c r="N47">
        <v>1</v>
      </c>
      <c r="O47">
        <v>7.6879999999999997</v>
      </c>
      <c r="P47">
        <v>-0.37490000000000001</v>
      </c>
      <c r="Q47">
        <v>-1.5800000000000002E-2</v>
      </c>
      <c r="R47">
        <v>-8.2900000000000001E-2</v>
      </c>
      <c r="S47">
        <v>-4.0909000000000004</v>
      </c>
      <c r="T47">
        <v>-21.998000000000001</v>
      </c>
      <c r="U47">
        <v>-0.42880000000000001</v>
      </c>
      <c r="V47">
        <v>139200</v>
      </c>
      <c r="W47">
        <v>2.0693000000000001</v>
      </c>
      <c r="X47">
        <f t="shared" si="0"/>
        <v>-5.7928058343063901E-2</v>
      </c>
    </row>
    <row r="48" spans="1:24" x14ac:dyDescent="0.3">
      <c r="A48">
        <v>2013</v>
      </c>
      <c r="B48" s="1" t="s">
        <v>29</v>
      </c>
      <c r="C48" s="1" t="s">
        <v>26</v>
      </c>
      <c r="D48">
        <v>55.49</v>
      </c>
      <c r="E48">
        <v>43712.69</v>
      </c>
      <c r="F48">
        <v>43712.69</v>
      </c>
      <c r="G48">
        <v>846.55679999999995</v>
      </c>
      <c r="H48">
        <v>0.23200000000000001</v>
      </c>
      <c r="I48">
        <v>1</v>
      </c>
      <c r="J48">
        <v>100067.4</v>
      </c>
      <c r="K48">
        <v>-39392.269999999997</v>
      </c>
      <c r="L48">
        <v>-35434.89</v>
      </c>
      <c r="M48">
        <v>9247.9680000000008</v>
      </c>
      <c r="N48">
        <v>1</v>
      </c>
      <c r="O48">
        <v>6.6208</v>
      </c>
      <c r="P48">
        <v>2.0282</v>
      </c>
      <c r="Q48">
        <v>9.8799999999999999E-2</v>
      </c>
      <c r="R48">
        <v>0.54700000000000004</v>
      </c>
      <c r="S48">
        <v>2.1758000000000002</v>
      </c>
      <c r="T48">
        <v>-3.8584999999999998</v>
      </c>
      <c r="U48">
        <v>2.3052000000000001</v>
      </c>
      <c r="V48">
        <v>139600</v>
      </c>
      <c r="W48">
        <v>1.4648000000000001</v>
      </c>
      <c r="X48">
        <f t="shared" si="0"/>
        <v>-5.046848057805111E-2</v>
      </c>
    </row>
    <row r="49" spans="1:24" x14ac:dyDescent="0.3">
      <c r="A49">
        <v>2014</v>
      </c>
      <c r="B49" s="1" t="s">
        <v>29</v>
      </c>
      <c r="C49" s="1" t="s">
        <v>26</v>
      </c>
      <c r="D49">
        <v>60.47</v>
      </c>
      <c r="E49">
        <v>41677.15</v>
      </c>
      <c r="F49">
        <v>41677.15</v>
      </c>
      <c r="G49">
        <v>-197.77160000000001</v>
      </c>
      <c r="H49">
        <v>-4.5999999999999999E-2</v>
      </c>
      <c r="I49">
        <v>1</v>
      </c>
      <c r="J49">
        <v>108705.4</v>
      </c>
      <c r="K49">
        <v>-17207.810000000001</v>
      </c>
      <c r="L49">
        <v>17560.509999999998</v>
      </c>
      <c r="M49">
        <v>-5039.8900000000003</v>
      </c>
      <c r="N49">
        <v>1</v>
      </c>
      <c r="O49">
        <v>5.0612000000000004</v>
      </c>
      <c r="P49">
        <v>1.2810999999999999</v>
      </c>
      <c r="Q49">
        <v>6.2199999999999998E-2</v>
      </c>
      <c r="R49">
        <v>0.36709999999999998</v>
      </c>
      <c r="S49">
        <v>-0.51900000000000002</v>
      </c>
      <c r="T49">
        <v>6.6557000000000004</v>
      </c>
      <c r="U49">
        <v>1.4624999999999999</v>
      </c>
      <c r="V49">
        <v>132300</v>
      </c>
      <c r="W49">
        <v>1.6222000000000001</v>
      </c>
      <c r="X49">
        <f t="shared" si="0"/>
        <v>-4.6566340346476061E-2</v>
      </c>
    </row>
    <row r="50" spans="1:24" x14ac:dyDescent="0.3">
      <c r="A50">
        <v>2015</v>
      </c>
      <c r="B50" s="1" t="s">
        <v>29</v>
      </c>
      <c r="C50" s="1" t="s">
        <v>26</v>
      </c>
      <c r="D50">
        <v>53.45</v>
      </c>
      <c r="E50">
        <v>38919.160000000003</v>
      </c>
      <c r="F50">
        <v>38919.160000000003</v>
      </c>
      <c r="G50">
        <v>-495.39600000000002</v>
      </c>
      <c r="H50">
        <v>-0.1162</v>
      </c>
      <c r="I50">
        <v>1</v>
      </c>
      <c r="J50">
        <v>100706.1</v>
      </c>
      <c r="K50">
        <v>24659.71</v>
      </c>
      <c r="L50">
        <v>-12895.59</v>
      </c>
      <c r="M50">
        <v>-674.28899999999999</v>
      </c>
      <c r="N50">
        <v>1</v>
      </c>
      <c r="O50">
        <v>3.6646000000000001</v>
      </c>
      <c r="P50">
        <v>0.94589999999999996</v>
      </c>
      <c r="Q50">
        <v>5.5599999999999997E-2</v>
      </c>
      <c r="R50">
        <v>0.251</v>
      </c>
      <c r="S50">
        <v>-1.3882000000000001</v>
      </c>
      <c r="T50">
        <v>9.9995999999999992</v>
      </c>
      <c r="U50">
        <v>1.0808</v>
      </c>
      <c r="V50">
        <v>129400</v>
      </c>
      <c r="W50">
        <v>0.1186</v>
      </c>
      <c r="X50">
        <f t="shared" si="0"/>
        <v>-6.6175110342237844E-2</v>
      </c>
    </row>
    <row r="51" spans="1:24" x14ac:dyDescent="0.3">
      <c r="A51">
        <v>2016</v>
      </c>
      <c r="B51" s="1" t="s">
        <v>29</v>
      </c>
      <c r="C51" s="1" t="s">
        <v>26</v>
      </c>
      <c r="D51">
        <v>46.21</v>
      </c>
      <c r="E51">
        <v>29072.54</v>
      </c>
      <c r="F51">
        <v>29072.54</v>
      </c>
      <c r="G51">
        <v>2373.13</v>
      </c>
      <c r="H51">
        <v>0.55840000000000001</v>
      </c>
      <c r="I51">
        <v>1</v>
      </c>
      <c r="J51">
        <v>96720.98</v>
      </c>
      <c r="K51">
        <v>15295.92</v>
      </c>
      <c r="L51">
        <v>49749</v>
      </c>
      <c r="M51">
        <v>-1784.93</v>
      </c>
      <c r="N51">
        <v>1</v>
      </c>
      <c r="O51">
        <v>3.5002</v>
      </c>
      <c r="P51">
        <v>3.1345999999999998</v>
      </c>
      <c r="Q51">
        <v>0.18440000000000001</v>
      </c>
      <c r="R51">
        <v>0.8387</v>
      </c>
      <c r="S51">
        <v>9.1781000000000006</v>
      </c>
      <c r="T51">
        <v>-2.4382000000000001</v>
      </c>
      <c r="U51">
        <v>3.5150999999999999</v>
      </c>
      <c r="V51">
        <v>119300</v>
      </c>
      <c r="W51">
        <v>1.2616000000000001</v>
      </c>
      <c r="X51">
        <f t="shared" si="0"/>
        <v>-0.25300186334956876</v>
      </c>
    </row>
    <row r="52" spans="1:24" x14ac:dyDescent="0.3">
      <c r="A52">
        <v>2017</v>
      </c>
      <c r="B52" s="1" t="s">
        <v>29</v>
      </c>
      <c r="C52" s="1" t="s">
        <v>26</v>
      </c>
      <c r="D52">
        <v>45.79</v>
      </c>
      <c r="E52">
        <v>27162.75</v>
      </c>
      <c r="F52">
        <v>27162.75</v>
      </c>
      <c r="G52">
        <v>-2477.0729999999999</v>
      </c>
      <c r="H52">
        <v>-0.57299999999999995</v>
      </c>
      <c r="I52">
        <v>1</v>
      </c>
      <c r="J52">
        <v>85081.42</v>
      </c>
      <c r="K52">
        <v>78244.34</v>
      </c>
      <c r="L52">
        <v>4513.3770000000004</v>
      </c>
      <c r="M52">
        <v>1238.537</v>
      </c>
      <c r="N52">
        <v>1</v>
      </c>
      <c r="O52">
        <v>5.2797000000000001</v>
      </c>
      <c r="P52">
        <v>1.9706999999999999</v>
      </c>
      <c r="Q52">
        <v>0.1148</v>
      </c>
      <c r="R52">
        <v>0.38619999999999999</v>
      </c>
      <c r="S52">
        <v>-10.2561</v>
      </c>
      <c r="T52">
        <v>14.5974</v>
      </c>
      <c r="U52">
        <v>2.2366999999999999</v>
      </c>
      <c r="V52">
        <v>79900</v>
      </c>
      <c r="W52">
        <v>2.1301000000000001</v>
      </c>
      <c r="X52">
        <f t="shared" si="0"/>
        <v>-6.5690510701851335E-2</v>
      </c>
    </row>
    <row r="53" spans="1:24" x14ac:dyDescent="0.3">
      <c r="A53">
        <v>2018</v>
      </c>
      <c r="B53" s="1" t="s">
        <v>29</v>
      </c>
      <c r="C53" s="1" t="s">
        <v>26</v>
      </c>
      <c r="D53">
        <v>31.68</v>
      </c>
      <c r="E53">
        <v>28212.33</v>
      </c>
      <c r="F53">
        <v>28212.33</v>
      </c>
      <c r="G53">
        <v>1860.711</v>
      </c>
      <c r="H53">
        <v>0.49120000000000003</v>
      </c>
      <c r="I53">
        <v>1</v>
      </c>
      <c r="J53">
        <v>85132.21</v>
      </c>
      <c r="K53">
        <v>11351.14</v>
      </c>
      <c r="L53">
        <v>903.65959999999995</v>
      </c>
      <c r="M53">
        <v>-9059.2880000000005</v>
      </c>
      <c r="N53">
        <v>1</v>
      </c>
      <c r="O53">
        <v>5.8975</v>
      </c>
      <c r="P53">
        <v>3.7191000000000001</v>
      </c>
      <c r="Q53">
        <v>0.20930000000000001</v>
      </c>
      <c r="R53">
        <v>0.61860000000000004</v>
      </c>
      <c r="S53">
        <v>7.0876999999999999</v>
      </c>
      <c r="T53">
        <v>-15.571199999999999</v>
      </c>
      <c r="U53">
        <v>4.2504</v>
      </c>
      <c r="V53">
        <v>83500</v>
      </c>
      <c r="W53">
        <v>2.4426000000000001</v>
      </c>
      <c r="X53">
        <f t="shared" si="0"/>
        <v>3.864041748350229E-2</v>
      </c>
    </row>
    <row r="54" spans="1:24" x14ac:dyDescent="0.3">
      <c r="A54">
        <v>2019</v>
      </c>
      <c r="B54" s="1" t="s">
        <v>29</v>
      </c>
      <c r="C54" s="1" t="s">
        <v>26</v>
      </c>
      <c r="D54">
        <v>40.78</v>
      </c>
      <c r="E54">
        <v>27621.9</v>
      </c>
      <c r="F54">
        <v>27621.9</v>
      </c>
      <c r="G54">
        <v>4180.5709999999999</v>
      </c>
      <c r="H54">
        <v>0.72</v>
      </c>
      <c r="I54">
        <v>1</v>
      </c>
      <c r="J54">
        <v>83841.259999999995</v>
      </c>
      <c r="K54">
        <v>-15699.49</v>
      </c>
      <c r="L54">
        <v>-16377.52</v>
      </c>
      <c r="M54">
        <v>881.06100000000004</v>
      </c>
      <c r="N54">
        <v>1</v>
      </c>
      <c r="O54">
        <v>5.3348000000000004</v>
      </c>
      <c r="P54">
        <v>5.1081000000000003</v>
      </c>
      <c r="Q54">
        <v>0.29420000000000002</v>
      </c>
      <c r="R54">
        <v>0.92010000000000003</v>
      </c>
      <c r="S54">
        <v>16.602399999999999</v>
      </c>
      <c r="T54">
        <v>-6.2895000000000003</v>
      </c>
      <c r="U54">
        <v>5.8289</v>
      </c>
      <c r="V54">
        <v>80800</v>
      </c>
      <c r="W54">
        <v>1.8122</v>
      </c>
      <c r="X54">
        <f t="shared" si="0"/>
        <v>-2.0928083571970138E-2</v>
      </c>
    </row>
    <row r="55" spans="1:24" x14ac:dyDescent="0.3">
      <c r="A55">
        <v>2020</v>
      </c>
      <c r="B55" s="1" t="s">
        <v>29</v>
      </c>
      <c r="C55" s="1" t="s">
        <v>26</v>
      </c>
      <c r="D55">
        <v>34.659999999999997</v>
      </c>
      <c r="E55">
        <v>27947.54</v>
      </c>
      <c r="F55">
        <v>27947.54</v>
      </c>
      <c r="G55">
        <v>1959.384</v>
      </c>
      <c r="H55">
        <v>0.44159999999999999</v>
      </c>
      <c r="I55">
        <v>1</v>
      </c>
      <c r="J55">
        <v>85876.479999999996</v>
      </c>
      <c r="K55">
        <v>73836.42</v>
      </c>
      <c r="L55">
        <v>-23594.78</v>
      </c>
      <c r="M55">
        <v>3507.8879999999999</v>
      </c>
      <c r="N55">
        <v>1</v>
      </c>
      <c r="O55">
        <v>6.0327000000000002</v>
      </c>
      <c r="P55">
        <v>3.6796000000000002</v>
      </c>
      <c r="Q55">
        <v>0.18240000000000001</v>
      </c>
      <c r="R55">
        <v>0.60199999999999998</v>
      </c>
      <c r="S55">
        <v>9.0146999999999995</v>
      </c>
      <c r="T55">
        <v>20.434100000000001</v>
      </c>
      <c r="U55">
        <v>4.1759000000000004</v>
      </c>
      <c r="V55">
        <v>83000</v>
      </c>
      <c r="W55">
        <v>1.2336</v>
      </c>
      <c r="X55">
        <f t="shared" si="0"/>
        <v>1.1789196253697226E-2</v>
      </c>
    </row>
    <row r="56" spans="1:24" x14ac:dyDescent="0.3">
      <c r="A56">
        <v>2021</v>
      </c>
      <c r="B56" s="1" t="s">
        <v>29</v>
      </c>
      <c r="C56" s="1" t="s">
        <v>26</v>
      </c>
      <c r="D56">
        <v>43.6</v>
      </c>
      <c r="E56">
        <v>30169.69</v>
      </c>
      <c r="F56">
        <v>30169.69</v>
      </c>
      <c r="G56">
        <v>8766.2630000000008</v>
      </c>
      <c r="H56">
        <v>2.0131000000000001</v>
      </c>
      <c r="I56">
        <v>1</v>
      </c>
      <c r="J56">
        <v>96547.15</v>
      </c>
      <c r="K56">
        <v>67268.52</v>
      </c>
      <c r="L56">
        <v>5871.6769999999997</v>
      </c>
      <c r="M56">
        <v>147.13570000000001</v>
      </c>
      <c r="N56">
        <v>1</v>
      </c>
      <c r="O56">
        <v>6.3395999999999999</v>
      </c>
      <c r="P56">
        <v>10.2918</v>
      </c>
      <c r="Q56">
        <v>0.52200000000000002</v>
      </c>
      <c r="R56">
        <v>1.6696</v>
      </c>
      <c r="S56">
        <v>28.216699999999999</v>
      </c>
      <c r="T56">
        <v>-1.4282999999999999</v>
      </c>
      <c r="U56">
        <v>11.6267</v>
      </c>
      <c r="V56">
        <v>81600</v>
      </c>
      <c r="W56">
        <v>4.6978999999999997</v>
      </c>
      <c r="X56">
        <f t="shared" si="0"/>
        <v>7.9511470419221075E-2</v>
      </c>
    </row>
    <row r="57" spans="1:24" x14ac:dyDescent="0.3">
      <c r="A57">
        <v>2022</v>
      </c>
      <c r="B57" s="1" t="s">
        <v>29</v>
      </c>
      <c r="C57" s="1" t="s">
        <v>26</v>
      </c>
      <c r="D57">
        <v>32.53</v>
      </c>
      <c r="E57">
        <v>30868.080000000002</v>
      </c>
      <c r="F57">
        <v>30868.080000000002</v>
      </c>
      <c r="G57">
        <v>6212.9489999999996</v>
      </c>
      <c r="H57">
        <v>1.4743999999999999</v>
      </c>
      <c r="I57">
        <v>1</v>
      </c>
      <c r="J57">
        <v>85667.7</v>
      </c>
      <c r="K57">
        <v>37392.720000000001</v>
      </c>
      <c r="L57">
        <v>-26807.33</v>
      </c>
      <c r="M57">
        <v>860.88239999999996</v>
      </c>
      <c r="N57">
        <v>1</v>
      </c>
      <c r="O57">
        <v>7.1601999999999997</v>
      </c>
      <c r="P57">
        <v>8.6240000000000006</v>
      </c>
      <c r="Q57">
        <v>0.39460000000000001</v>
      </c>
      <c r="R57">
        <v>1.284</v>
      </c>
      <c r="S57">
        <v>21.161999999999999</v>
      </c>
      <c r="T57">
        <v>-6.5476999999999999</v>
      </c>
      <c r="U57">
        <v>9.7883999999999993</v>
      </c>
      <c r="V57">
        <v>87400</v>
      </c>
      <c r="W57">
        <v>8.0028000000000006</v>
      </c>
      <c r="X57">
        <f t="shared" si="0"/>
        <v>2.3148729735042128E-2</v>
      </c>
    </row>
    <row r="58" spans="1:24" x14ac:dyDescent="0.3">
      <c r="A58">
        <v>2009</v>
      </c>
      <c r="B58" s="1" t="s">
        <v>30</v>
      </c>
      <c r="C58" s="1" t="s">
        <v>24</v>
      </c>
      <c r="D58">
        <v>195.27</v>
      </c>
      <c r="E58">
        <v>23651</v>
      </c>
      <c r="F58">
        <v>14807</v>
      </c>
      <c r="G58">
        <v>6520</v>
      </c>
      <c r="H58">
        <v>0.51029999999999998</v>
      </c>
      <c r="I58">
        <v>9836</v>
      </c>
      <c r="J58">
        <v>36004</v>
      </c>
      <c r="K58">
        <v>9316</v>
      </c>
      <c r="L58">
        <v>-8019</v>
      </c>
      <c r="M58">
        <v>233</v>
      </c>
      <c r="N58">
        <v>10.617800000000001</v>
      </c>
      <c r="O58">
        <v>0</v>
      </c>
      <c r="P58">
        <v>18.109100000000002</v>
      </c>
      <c r="Q58">
        <v>16.100000000000001</v>
      </c>
      <c r="R58">
        <v>18.109100000000002</v>
      </c>
      <c r="S58">
        <v>27.567499999999999</v>
      </c>
      <c r="T58">
        <v>0.66569999999999996</v>
      </c>
      <c r="U58">
        <v>21.499700000000001</v>
      </c>
      <c r="V58">
        <v>19835</v>
      </c>
      <c r="W58">
        <v>-0.35549999999999998</v>
      </c>
      <c r="X58" t="str">
        <f t="shared" si="0"/>
        <v/>
      </c>
    </row>
    <row r="59" spans="1:24" x14ac:dyDescent="0.3">
      <c r="A59">
        <v>2010</v>
      </c>
      <c r="B59" s="1" t="s">
        <v>30</v>
      </c>
      <c r="C59" s="1" t="s">
        <v>24</v>
      </c>
      <c r="D59">
        <v>188.54</v>
      </c>
      <c r="E59">
        <v>29321</v>
      </c>
      <c r="F59">
        <v>18904</v>
      </c>
      <c r="G59">
        <v>8505</v>
      </c>
      <c r="H59">
        <v>0.65780000000000005</v>
      </c>
      <c r="I59">
        <v>11777</v>
      </c>
      <c r="J59">
        <v>46241</v>
      </c>
      <c r="K59">
        <v>11081</v>
      </c>
      <c r="L59">
        <v>-10680</v>
      </c>
      <c r="M59">
        <v>3050</v>
      </c>
      <c r="N59">
        <v>4.1578999999999997</v>
      </c>
      <c r="O59">
        <v>7.4899999999999994E-2</v>
      </c>
      <c r="P59">
        <v>18.392800000000001</v>
      </c>
      <c r="Q59">
        <v>14.701599999999999</v>
      </c>
      <c r="R59">
        <v>18.392800000000001</v>
      </c>
      <c r="S59">
        <v>29.006499999999999</v>
      </c>
      <c r="T59">
        <v>-0.1195</v>
      </c>
      <c r="U59">
        <v>21.840699999999998</v>
      </c>
      <c r="V59">
        <v>24400</v>
      </c>
      <c r="W59">
        <v>1.64</v>
      </c>
      <c r="X59">
        <f t="shared" si="0"/>
        <v>0.23973616337575579</v>
      </c>
    </row>
    <row r="60" spans="1:24" x14ac:dyDescent="0.3">
      <c r="A60">
        <v>2011</v>
      </c>
      <c r="B60" s="1" t="s">
        <v>30</v>
      </c>
      <c r="C60" s="1" t="s">
        <v>24</v>
      </c>
      <c r="D60">
        <v>207.65</v>
      </c>
      <c r="E60">
        <v>37905</v>
      </c>
      <c r="F60">
        <v>24717</v>
      </c>
      <c r="G60">
        <v>9737</v>
      </c>
      <c r="H60">
        <v>0.74399999999999999</v>
      </c>
      <c r="I60">
        <v>13593</v>
      </c>
      <c r="J60">
        <v>58145</v>
      </c>
      <c r="K60">
        <v>14565</v>
      </c>
      <c r="L60">
        <v>-19041</v>
      </c>
      <c r="M60">
        <v>807</v>
      </c>
      <c r="N60">
        <v>5.9192</v>
      </c>
      <c r="O60">
        <v>7.2300000000000003E-2</v>
      </c>
      <c r="P60">
        <v>16.746099999999998</v>
      </c>
      <c r="Q60">
        <v>13.416700000000001</v>
      </c>
      <c r="R60">
        <v>15.928100000000001</v>
      </c>
      <c r="S60">
        <v>25.687899999999999</v>
      </c>
      <c r="T60">
        <v>0.3039</v>
      </c>
      <c r="U60">
        <v>19.7822</v>
      </c>
      <c r="V60">
        <v>32467</v>
      </c>
      <c r="W60">
        <v>3.1568000000000001</v>
      </c>
      <c r="X60">
        <f t="shared" si="0"/>
        <v>0.29275945568022921</v>
      </c>
    </row>
    <row r="61" spans="1:24" x14ac:dyDescent="0.3">
      <c r="A61">
        <v>2012</v>
      </c>
      <c r="B61" s="1" t="s">
        <v>30</v>
      </c>
      <c r="C61" s="1" t="s">
        <v>24</v>
      </c>
      <c r="D61">
        <v>230.54</v>
      </c>
      <c r="E61">
        <v>46039</v>
      </c>
      <c r="F61">
        <v>28863</v>
      </c>
      <c r="G61">
        <v>10737</v>
      </c>
      <c r="H61">
        <v>0.80800000000000005</v>
      </c>
      <c r="I61">
        <v>16796</v>
      </c>
      <c r="J61">
        <v>71715</v>
      </c>
      <c r="K61">
        <v>16619</v>
      </c>
      <c r="L61">
        <v>-13056</v>
      </c>
      <c r="M61">
        <v>1229</v>
      </c>
      <c r="N61">
        <v>4.2165999999999997</v>
      </c>
      <c r="O61">
        <v>7.7200000000000005E-2</v>
      </c>
      <c r="P61">
        <v>16.1096</v>
      </c>
      <c r="Q61">
        <v>12.3169</v>
      </c>
      <c r="R61">
        <v>15.465199999999999</v>
      </c>
      <c r="S61">
        <v>23.3215</v>
      </c>
      <c r="T61">
        <v>0.15390000000000001</v>
      </c>
      <c r="U61">
        <v>21.512</v>
      </c>
      <c r="V61">
        <v>53861</v>
      </c>
      <c r="W61">
        <v>2.0693000000000001</v>
      </c>
      <c r="X61">
        <f t="shared" si="0"/>
        <v>0.21458910433979686</v>
      </c>
    </row>
    <row r="62" spans="1:24" x14ac:dyDescent="0.3">
      <c r="A62">
        <v>2013</v>
      </c>
      <c r="B62" s="1" t="s">
        <v>30</v>
      </c>
      <c r="C62" s="1" t="s">
        <v>24</v>
      </c>
      <c r="D62">
        <v>371.53</v>
      </c>
      <c r="E62">
        <v>55519</v>
      </c>
      <c r="F62">
        <v>33526</v>
      </c>
      <c r="G62">
        <v>12733</v>
      </c>
      <c r="H62">
        <v>0.9395</v>
      </c>
      <c r="I62">
        <v>19342</v>
      </c>
      <c r="J62">
        <v>87309</v>
      </c>
      <c r="K62">
        <v>18659</v>
      </c>
      <c r="L62">
        <v>-13679</v>
      </c>
      <c r="M62">
        <v>-857</v>
      </c>
      <c r="N62">
        <v>4.5816999999999997</v>
      </c>
      <c r="O62">
        <v>6.0100000000000001E-2</v>
      </c>
      <c r="P62">
        <v>15.072900000000001</v>
      </c>
      <c r="Q62">
        <v>11.8644</v>
      </c>
      <c r="R62">
        <v>14.6965</v>
      </c>
      <c r="S62">
        <v>22.9345</v>
      </c>
      <c r="T62">
        <v>-0.23730000000000001</v>
      </c>
      <c r="U62">
        <v>18.867100000000001</v>
      </c>
      <c r="V62">
        <v>47756</v>
      </c>
      <c r="W62">
        <v>1.4648000000000001</v>
      </c>
      <c r="X62">
        <f t="shared" si="0"/>
        <v>0.20591237863550468</v>
      </c>
    </row>
    <row r="63" spans="1:24" x14ac:dyDescent="0.3">
      <c r="A63">
        <v>2014</v>
      </c>
      <c r="B63" s="1" t="s">
        <v>30</v>
      </c>
      <c r="C63" s="1" t="s">
        <v>24</v>
      </c>
      <c r="D63">
        <v>354.75</v>
      </c>
      <c r="E63">
        <v>66001</v>
      </c>
      <c r="F63">
        <v>40310</v>
      </c>
      <c r="G63">
        <v>14136</v>
      </c>
      <c r="H63">
        <v>1.0285</v>
      </c>
      <c r="I63">
        <v>21475</v>
      </c>
      <c r="J63">
        <v>103860</v>
      </c>
      <c r="K63">
        <v>23024</v>
      </c>
      <c r="L63">
        <v>-21055</v>
      </c>
      <c r="M63">
        <v>-2087</v>
      </c>
      <c r="N63">
        <v>4.6878000000000002</v>
      </c>
      <c r="O63">
        <v>5.04E-2</v>
      </c>
      <c r="P63">
        <v>13.113799999999999</v>
      </c>
      <c r="Q63">
        <v>10.542899999999999</v>
      </c>
      <c r="R63">
        <v>12.718500000000001</v>
      </c>
      <c r="S63">
        <v>21.417899999999999</v>
      </c>
      <c r="T63">
        <v>4.6300000000000001E-2</v>
      </c>
      <c r="U63">
        <v>16.281400000000001</v>
      </c>
      <c r="V63">
        <v>53600</v>
      </c>
      <c r="W63">
        <v>1.6222000000000001</v>
      </c>
      <c r="X63">
        <f t="shared" si="0"/>
        <v>0.18880023055170303</v>
      </c>
    </row>
    <row r="64" spans="1:24" x14ac:dyDescent="0.3">
      <c r="A64">
        <v>2015</v>
      </c>
      <c r="B64" s="1" t="s">
        <v>30</v>
      </c>
      <c r="C64" s="1" t="s">
        <v>24</v>
      </c>
      <c r="D64">
        <v>521.66999999999996</v>
      </c>
      <c r="E64">
        <v>74989</v>
      </c>
      <c r="F64">
        <v>46825</v>
      </c>
      <c r="G64">
        <v>15826</v>
      </c>
      <c r="H64">
        <v>1.1419999999999999</v>
      </c>
      <c r="I64">
        <v>24423</v>
      </c>
      <c r="J64">
        <v>120331</v>
      </c>
      <c r="K64">
        <v>26572</v>
      </c>
      <c r="L64">
        <v>-23711</v>
      </c>
      <c r="M64">
        <v>-4225</v>
      </c>
      <c r="N64">
        <v>4.6666999999999996</v>
      </c>
      <c r="O64">
        <v>4.3400000000000001E-2</v>
      </c>
      <c r="P64">
        <v>13.585900000000001</v>
      </c>
      <c r="Q64">
        <v>11.0863</v>
      </c>
      <c r="R64">
        <v>13.3643</v>
      </c>
      <c r="S64">
        <v>21.104399999999998</v>
      </c>
      <c r="T64">
        <v>0.3054</v>
      </c>
      <c r="U64">
        <v>16.248100000000001</v>
      </c>
      <c r="V64">
        <v>61814</v>
      </c>
      <c r="W64">
        <v>0.1186</v>
      </c>
      <c r="X64">
        <f t="shared" si="0"/>
        <v>0.13617975485219921</v>
      </c>
    </row>
    <row r="65" spans="1:24" x14ac:dyDescent="0.3">
      <c r="A65">
        <v>2016</v>
      </c>
      <c r="B65" s="1" t="s">
        <v>30</v>
      </c>
      <c r="C65" s="1" t="s">
        <v>24</v>
      </c>
      <c r="D65">
        <v>530.84</v>
      </c>
      <c r="E65">
        <v>90272</v>
      </c>
      <c r="F65">
        <v>55134</v>
      </c>
      <c r="G65">
        <v>19478</v>
      </c>
      <c r="H65">
        <v>1.3925000000000001</v>
      </c>
      <c r="I65">
        <v>29860</v>
      </c>
      <c r="J65">
        <v>139036</v>
      </c>
      <c r="K65">
        <v>36036</v>
      </c>
      <c r="L65">
        <v>-31165</v>
      </c>
      <c r="M65">
        <v>-8332</v>
      </c>
      <c r="N65">
        <v>6.2907999999999999</v>
      </c>
      <c r="O65">
        <v>2.8299999999999999E-2</v>
      </c>
      <c r="P65">
        <v>14.0093</v>
      </c>
      <c r="Q65">
        <v>11.6289</v>
      </c>
      <c r="R65">
        <v>13.623699999999999</v>
      </c>
      <c r="S65">
        <v>21.577000000000002</v>
      </c>
      <c r="T65">
        <v>0.62490000000000001</v>
      </c>
      <c r="U65">
        <v>16.3323</v>
      </c>
      <c r="V65">
        <v>72053</v>
      </c>
      <c r="W65">
        <v>1.2616000000000001</v>
      </c>
      <c r="X65">
        <f t="shared" si="0"/>
        <v>0.20380322447292271</v>
      </c>
    </row>
    <row r="66" spans="1:24" x14ac:dyDescent="0.3">
      <c r="A66">
        <v>2017</v>
      </c>
      <c r="B66" s="1" t="s">
        <v>30</v>
      </c>
      <c r="C66" s="1" t="s">
        <v>24</v>
      </c>
      <c r="D66">
        <v>726.47</v>
      </c>
      <c r="E66">
        <v>110855</v>
      </c>
      <c r="F66">
        <v>65272</v>
      </c>
      <c r="G66">
        <v>12662</v>
      </c>
      <c r="H66">
        <v>0.9</v>
      </c>
      <c r="I66">
        <v>33093</v>
      </c>
      <c r="J66">
        <v>152502</v>
      </c>
      <c r="K66">
        <v>37091</v>
      </c>
      <c r="L66">
        <v>-31401</v>
      </c>
      <c r="M66">
        <v>-8298</v>
      </c>
      <c r="N66">
        <v>5.1402999999999999</v>
      </c>
      <c r="O66">
        <v>2.5999999999999999E-2</v>
      </c>
      <c r="P66">
        <v>8.3027999999999995</v>
      </c>
      <c r="Q66">
        <v>6.4177999999999997</v>
      </c>
      <c r="R66">
        <v>8.0922000000000001</v>
      </c>
      <c r="S66">
        <v>11.4221</v>
      </c>
      <c r="T66">
        <v>-0.151</v>
      </c>
      <c r="U66">
        <v>9.5158000000000005</v>
      </c>
      <c r="V66">
        <v>80110</v>
      </c>
      <c r="W66">
        <v>2.1301000000000001</v>
      </c>
      <c r="X66">
        <f t="shared" ref="X66:X129" si="1">IF(B66=B65,(E66-E65)/E65,"")</f>
        <v>0.22801090038993266</v>
      </c>
    </row>
    <row r="67" spans="1:24" x14ac:dyDescent="0.3">
      <c r="A67">
        <v>2018</v>
      </c>
      <c r="B67" s="1" t="s">
        <v>30</v>
      </c>
      <c r="C67" s="1" t="s">
        <v>24</v>
      </c>
      <c r="D67">
        <v>719.63</v>
      </c>
      <c r="E67">
        <v>136819</v>
      </c>
      <c r="F67">
        <v>77270</v>
      </c>
      <c r="G67">
        <v>30736</v>
      </c>
      <c r="H67">
        <v>2.1850000000000001</v>
      </c>
      <c r="I67">
        <v>36559</v>
      </c>
      <c r="J67">
        <v>177628</v>
      </c>
      <c r="K67">
        <v>47971</v>
      </c>
      <c r="L67">
        <v>-28504</v>
      </c>
      <c r="M67">
        <v>-13179</v>
      </c>
      <c r="N67">
        <v>3.919</v>
      </c>
      <c r="O67">
        <v>2.2599999999999999E-2</v>
      </c>
      <c r="P67">
        <v>17.303599999999999</v>
      </c>
      <c r="Q67">
        <v>13.203200000000001</v>
      </c>
      <c r="R67">
        <v>16.921399999999998</v>
      </c>
      <c r="S67">
        <v>22.464700000000001</v>
      </c>
      <c r="T67">
        <v>-7.0499999999999993E-2</v>
      </c>
      <c r="U67">
        <v>19.5124</v>
      </c>
      <c r="V67">
        <v>98771</v>
      </c>
      <c r="W67">
        <v>2.4426000000000001</v>
      </c>
      <c r="X67">
        <f t="shared" si="1"/>
        <v>0.23421586757475982</v>
      </c>
    </row>
    <row r="68" spans="1:24" x14ac:dyDescent="0.3">
      <c r="A68">
        <v>2019</v>
      </c>
      <c r="B68" s="1" t="s">
        <v>30</v>
      </c>
      <c r="C68" s="1" t="s">
        <v>24</v>
      </c>
      <c r="D68">
        <v>917.82</v>
      </c>
      <c r="E68">
        <v>161857</v>
      </c>
      <c r="F68">
        <v>89961</v>
      </c>
      <c r="G68">
        <v>34343</v>
      </c>
      <c r="H68">
        <v>2.4580000000000002</v>
      </c>
      <c r="I68">
        <v>46012</v>
      </c>
      <c r="J68">
        <v>201442</v>
      </c>
      <c r="K68">
        <v>54520</v>
      </c>
      <c r="L68">
        <v>-29491</v>
      </c>
      <c r="M68">
        <v>-23209</v>
      </c>
      <c r="N68">
        <v>3.3740999999999999</v>
      </c>
      <c r="O68">
        <v>2.2599999999999999E-2</v>
      </c>
      <c r="P68">
        <v>17.0486</v>
      </c>
      <c r="Q68">
        <v>12.4472</v>
      </c>
      <c r="R68">
        <v>16.671700000000001</v>
      </c>
      <c r="S68">
        <v>21.2181</v>
      </c>
      <c r="T68">
        <v>0.55659999999999998</v>
      </c>
      <c r="U68">
        <v>19.203299999999999</v>
      </c>
      <c r="V68">
        <v>118899</v>
      </c>
      <c r="W68">
        <v>1.8122</v>
      </c>
      <c r="X68">
        <f t="shared" si="1"/>
        <v>0.18300089899794619</v>
      </c>
    </row>
    <row r="69" spans="1:24" x14ac:dyDescent="0.3">
      <c r="A69">
        <v>2020</v>
      </c>
      <c r="B69" s="1" t="s">
        <v>30</v>
      </c>
      <c r="C69" s="1" t="s">
        <v>24</v>
      </c>
      <c r="D69">
        <v>1179.4000000000001</v>
      </c>
      <c r="E69">
        <v>182527</v>
      </c>
      <c r="F69">
        <v>97795</v>
      </c>
      <c r="G69">
        <v>40269</v>
      </c>
      <c r="H69">
        <v>2.93</v>
      </c>
      <c r="I69">
        <v>54921</v>
      </c>
      <c r="J69">
        <v>222544</v>
      </c>
      <c r="K69">
        <v>65124</v>
      </c>
      <c r="L69">
        <v>-32773</v>
      </c>
      <c r="M69">
        <v>-24408</v>
      </c>
      <c r="N69">
        <v>3.0668000000000002</v>
      </c>
      <c r="O69">
        <v>6.2600000000000003E-2</v>
      </c>
      <c r="P69">
        <v>18.094899999999999</v>
      </c>
      <c r="Q69">
        <v>12.5992</v>
      </c>
      <c r="R69">
        <v>17.0288</v>
      </c>
      <c r="S69">
        <v>22.061900000000001</v>
      </c>
      <c r="T69">
        <v>0.84299999999999997</v>
      </c>
      <c r="U69">
        <v>20.142199999999999</v>
      </c>
      <c r="V69">
        <v>135301</v>
      </c>
      <c r="W69">
        <v>1.2336</v>
      </c>
      <c r="X69">
        <f t="shared" si="1"/>
        <v>0.12770532012826136</v>
      </c>
    </row>
    <row r="70" spans="1:24" x14ac:dyDescent="0.3">
      <c r="A70">
        <v>2021</v>
      </c>
      <c r="B70" s="1" t="s">
        <v>30</v>
      </c>
      <c r="C70" s="1" t="s">
        <v>24</v>
      </c>
      <c r="D70">
        <v>1910.26</v>
      </c>
      <c r="E70">
        <v>257637</v>
      </c>
      <c r="F70">
        <v>146698</v>
      </c>
      <c r="G70">
        <v>76033</v>
      </c>
      <c r="H70">
        <v>5.61</v>
      </c>
      <c r="I70">
        <v>91155</v>
      </c>
      <c r="J70">
        <v>251635</v>
      </c>
      <c r="K70">
        <v>91652</v>
      </c>
      <c r="L70">
        <v>-35523</v>
      </c>
      <c r="M70">
        <v>-61362</v>
      </c>
      <c r="N70">
        <v>2.9281000000000001</v>
      </c>
      <c r="O70">
        <v>5.8900000000000001E-2</v>
      </c>
      <c r="P70">
        <v>30.215599999999998</v>
      </c>
      <c r="Q70">
        <v>21.1633</v>
      </c>
      <c r="R70">
        <v>28.535399999999999</v>
      </c>
      <c r="S70">
        <v>29.511700000000001</v>
      </c>
      <c r="T70">
        <v>1.7122999999999999</v>
      </c>
      <c r="U70">
        <v>33.456099999999999</v>
      </c>
      <c r="V70">
        <v>156500</v>
      </c>
      <c r="W70">
        <v>4.6978999999999997</v>
      </c>
      <c r="X70">
        <f t="shared" si="1"/>
        <v>0.41150076427049148</v>
      </c>
    </row>
    <row r="71" spans="1:24" x14ac:dyDescent="0.3">
      <c r="A71">
        <v>2022</v>
      </c>
      <c r="B71" s="1" t="s">
        <v>30</v>
      </c>
      <c r="C71" s="1" t="s">
        <v>24</v>
      </c>
      <c r="D71">
        <v>1144.3499999999999</v>
      </c>
      <c r="E71">
        <v>282836</v>
      </c>
      <c r="F71">
        <v>156633</v>
      </c>
      <c r="G71">
        <v>59972</v>
      </c>
      <c r="H71">
        <v>4.5599999999999996</v>
      </c>
      <c r="I71">
        <v>90770</v>
      </c>
      <c r="J71">
        <v>256144</v>
      </c>
      <c r="K71">
        <v>91495</v>
      </c>
      <c r="L71">
        <v>-20298</v>
      </c>
      <c r="M71">
        <v>-69757</v>
      </c>
      <c r="N71">
        <v>2.3780000000000001</v>
      </c>
      <c r="O71">
        <v>5.74E-2</v>
      </c>
      <c r="P71">
        <v>23.413399999999999</v>
      </c>
      <c r="Q71">
        <v>16.418800000000001</v>
      </c>
      <c r="R71">
        <v>22.142600000000002</v>
      </c>
      <c r="S71">
        <v>21.203800000000001</v>
      </c>
      <c r="T71">
        <v>-0.36130000000000001</v>
      </c>
      <c r="U71">
        <v>26.642399999999999</v>
      </c>
      <c r="V71">
        <v>190234</v>
      </c>
      <c r="W71">
        <v>8.0028000000000006</v>
      </c>
      <c r="X71">
        <f t="shared" si="1"/>
        <v>9.7808156437157706E-2</v>
      </c>
    </row>
    <row r="72" spans="1:24" x14ac:dyDescent="0.3">
      <c r="A72">
        <v>2009</v>
      </c>
      <c r="B72" s="1" t="s">
        <v>31</v>
      </c>
      <c r="C72" s="1" t="s">
        <v>32</v>
      </c>
      <c r="D72">
        <v>112.65</v>
      </c>
      <c r="E72">
        <v>35127</v>
      </c>
      <c r="F72">
        <v>19561</v>
      </c>
      <c r="G72">
        <v>4369</v>
      </c>
      <c r="H72">
        <v>0.77</v>
      </c>
      <c r="I72">
        <v>10763</v>
      </c>
      <c r="J72">
        <v>41704</v>
      </c>
      <c r="K72">
        <v>11170</v>
      </c>
      <c r="L72">
        <v>-7965</v>
      </c>
      <c r="M72">
        <v>-2568</v>
      </c>
      <c r="N72">
        <v>2.7871000000000001</v>
      </c>
      <c r="O72">
        <v>5.33E-2</v>
      </c>
      <c r="P72">
        <v>10.4762</v>
      </c>
      <c r="Q72">
        <v>8.2286000000000001</v>
      </c>
      <c r="R72">
        <v>9.9855999999999998</v>
      </c>
      <c r="S72">
        <v>12.4377</v>
      </c>
      <c r="T72">
        <v>1.1789000000000001</v>
      </c>
      <c r="U72">
        <v>11.718500000000001</v>
      </c>
      <c r="V72">
        <v>79800</v>
      </c>
      <c r="W72">
        <v>-0.35549999999999998</v>
      </c>
      <c r="X72" t="str">
        <f t="shared" si="1"/>
        <v/>
      </c>
    </row>
    <row r="73" spans="1:24" x14ac:dyDescent="0.3">
      <c r="A73">
        <v>2010</v>
      </c>
      <c r="B73" s="1" t="s">
        <v>31</v>
      </c>
      <c r="C73" s="1" t="s">
        <v>32</v>
      </c>
      <c r="D73">
        <v>117.31</v>
      </c>
      <c r="E73">
        <v>43623</v>
      </c>
      <c r="F73">
        <v>28491</v>
      </c>
      <c r="G73">
        <v>11464</v>
      </c>
      <c r="H73">
        <v>2.0099999999999998</v>
      </c>
      <c r="I73">
        <v>20226</v>
      </c>
      <c r="J73">
        <v>49430</v>
      </c>
      <c r="K73">
        <v>16692</v>
      </c>
      <c r="L73">
        <v>-10539</v>
      </c>
      <c r="M73">
        <v>-4642</v>
      </c>
      <c r="N73">
        <v>3.3892000000000002</v>
      </c>
      <c r="O73">
        <v>4.2799999999999998E-2</v>
      </c>
      <c r="P73">
        <v>23.192399999999999</v>
      </c>
      <c r="Q73">
        <v>18.1433</v>
      </c>
      <c r="R73">
        <v>22.257200000000001</v>
      </c>
      <c r="S73">
        <v>26.279699999999998</v>
      </c>
      <c r="T73">
        <v>0.83740000000000003</v>
      </c>
      <c r="U73">
        <v>26.031500000000001</v>
      </c>
      <c r="V73">
        <v>82500</v>
      </c>
      <c r="W73">
        <v>1.64</v>
      </c>
      <c r="X73">
        <f t="shared" si="1"/>
        <v>0.24186523187291828</v>
      </c>
    </row>
    <row r="74" spans="1:24" x14ac:dyDescent="0.3">
      <c r="A74">
        <v>2011</v>
      </c>
      <c r="B74" s="1" t="s">
        <v>31</v>
      </c>
      <c r="C74" s="1" t="s">
        <v>32</v>
      </c>
      <c r="D74">
        <v>123.48</v>
      </c>
      <c r="E74">
        <v>53999</v>
      </c>
      <c r="F74">
        <v>33757</v>
      </c>
      <c r="G74">
        <v>12942</v>
      </c>
      <c r="H74">
        <v>2.39</v>
      </c>
      <c r="I74">
        <v>23541</v>
      </c>
      <c r="J74">
        <v>45911</v>
      </c>
      <c r="K74">
        <v>20963</v>
      </c>
      <c r="L74">
        <v>-10301</v>
      </c>
      <c r="M74">
        <v>-11100</v>
      </c>
      <c r="N74">
        <v>2.1509999999999998</v>
      </c>
      <c r="O74">
        <v>0.15970000000000001</v>
      </c>
      <c r="P74">
        <v>28.189299999999999</v>
      </c>
      <c r="Q74">
        <v>18.197700000000001</v>
      </c>
      <c r="R74">
        <v>24.421199999999999</v>
      </c>
      <c r="S74">
        <v>23.967099999999999</v>
      </c>
      <c r="T74">
        <v>-0.13139999999999999</v>
      </c>
      <c r="U74">
        <v>42.586399999999998</v>
      </c>
      <c r="V74">
        <v>100100</v>
      </c>
      <c r="W74">
        <v>3.1568000000000001</v>
      </c>
      <c r="X74">
        <f t="shared" si="1"/>
        <v>0.2378561767874745</v>
      </c>
    </row>
    <row r="75" spans="1:24" x14ac:dyDescent="0.3">
      <c r="A75">
        <v>2012</v>
      </c>
      <c r="B75" s="1" t="s">
        <v>31</v>
      </c>
      <c r="C75" s="1" t="s">
        <v>32</v>
      </c>
      <c r="D75">
        <v>102.61</v>
      </c>
      <c r="E75">
        <v>53341</v>
      </c>
      <c r="F75">
        <v>33151</v>
      </c>
      <c r="G75">
        <v>11005</v>
      </c>
      <c r="H75">
        <v>2.13</v>
      </c>
      <c r="I75">
        <v>22160</v>
      </c>
      <c r="J75">
        <v>51203</v>
      </c>
      <c r="K75">
        <v>18884</v>
      </c>
      <c r="L75">
        <v>-14060</v>
      </c>
      <c r="M75">
        <v>-1408</v>
      </c>
      <c r="N75">
        <v>2.4312</v>
      </c>
      <c r="O75">
        <v>0.2626</v>
      </c>
      <c r="P75">
        <v>21.492899999999999</v>
      </c>
      <c r="Q75">
        <v>13.0467</v>
      </c>
      <c r="R75">
        <v>17.104700000000001</v>
      </c>
      <c r="S75">
        <v>20.631399999999999</v>
      </c>
      <c r="T75">
        <v>-0.36220000000000002</v>
      </c>
      <c r="U75">
        <v>31.212800000000001</v>
      </c>
      <c r="V75">
        <v>105000</v>
      </c>
      <c r="W75">
        <v>2.0693000000000001</v>
      </c>
      <c r="X75">
        <f t="shared" si="1"/>
        <v>-1.2185410840941499E-2</v>
      </c>
    </row>
    <row r="76" spans="1:24" x14ac:dyDescent="0.3">
      <c r="A76">
        <v>2013</v>
      </c>
      <c r="B76" s="1" t="s">
        <v>31</v>
      </c>
      <c r="C76" s="1" t="s">
        <v>32</v>
      </c>
      <c r="D76">
        <v>129.02000000000001</v>
      </c>
      <c r="E76">
        <v>52708</v>
      </c>
      <c r="F76">
        <v>31521</v>
      </c>
      <c r="G76">
        <v>9620</v>
      </c>
      <c r="H76">
        <v>1.89</v>
      </c>
      <c r="I76">
        <v>20323</v>
      </c>
      <c r="J76">
        <v>58256</v>
      </c>
      <c r="K76">
        <v>20776</v>
      </c>
      <c r="L76">
        <v>-18073</v>
      </c>
      <c r="M76">
        <v>-5498</v>
      </c>
      <c r="N76">
        <v>2.3647</v>
      </c>
      <c r="O76">
        <v>0.23080000000000001</v>
      </c>
      <c r="P76">
        <v>16.513300000000001</v>
      </c>
      <c r="Q76">
        <v>10.416</v>
      </c>
      <c r="R76">
        <v>13.4694</v>
      </c>
      <c r="S76">
        <v>18.2515</v>
      </c>
      <c r="T76">
        <v>0.45200000000000001</v>
      </c>
      <c r="U76">
        <v>22.585899999999999</v>
      </c>
      <c r="V76">
        <v>107600</v>
      </c>
      <c r="W76">
        <v>1.4648000000000001</v>
      </c>
      <c r="X76">
        <f t="shared" si="1"/>
        <v>-1.1867044112408841E-2</v>
      </c>
    </row>
    <row r="77" spans="1:24" x14ac:dyDescent="0.3">
      <c r="A77">
        <v>2014</v>
      </c>
      <c r="B77" s="1" t="s">
        <v>31</v>
      </c>
      <c r="C77" s="1" t="s">
        <v>32</v>
      </c>
      <c r="D77">
        <v>175.46</v>
      </c>
      <c r="E77">
        <v>55870</v>
      </c>
      <c r="F77">
        <v>35609</v>
      </c>
      <c r="G77">
        <v>11704</v>
      </c>
      <c r="H77">
        <v>2.31</v>
      </c>
      <c r="I77">
        <v>23896</v>
      </c>
      <c r="J77">
        <v>55865</v>
      </c>
      <c r="K77">
        <v>20418</v>
      </c>
      <c r="L77">
        <v>-9905</v>
      </c>
      <c r="M77">
        <v>-13611</v>
      </c>
      <c r="N77">
        <v>1.7319</v>
      </c>
      <c r="O77">
        <v>0.24440000000000001</v>
      </c>
      <c r="P77">
        <v>20.950500000000002</v>
      </c>
      <c r="Q77">
        <v>12.7356</v>
      </c>
      <c r="R77">
        <v>17.231000000000002</v>
      </c>
      <c r="S77">
        <v>20.948599999999999</v>
      </c>
      <c r="T77">
        <v>6.5100000000000005E-2</v>
      </c>
      <c r="U77">
        <v>28.857399999999998</v>
      </c>
      <c r="V77">
        <v>106700</v>
      </c>
      <c r="W77">
        <v>1.6222000000000001</v>
      </c>
      <c r="X77">
        <f t="shared" si="1"/>
        <v>5.9990893223040145E-2</v>
      </c>
    </row>
    <row r="78" spans="1:24" x14ac:dyDescent="0.3">
      <c r="A78">
        <v>2015</v>
      </c>
      <c r="B78" s="1" t="s">
        <v>31</v>
      </c>
      <c r="C78" s="1" t="s">
        <v>32</v>
      </c>
      <c r="D78">
        <v>162.57</v>
      </c>
      <c r="E78">
        <v>55355</v>
      </c>
      <c r="F78">
        <v>34679</v>
      </c>
      <c r="G78">
        <v>11420</v>
      </c>
      <c r="H78">
        <v>2.33</v>
      </c>
      <c r="I78">
        <v>22713</v>
      </c>
      <c r="J78">
        <v>61085</v>
      </c>
      <c r="K78">
        <v>19018</v>
      </c>
      <c r="L78">
        <v>-8183</v>
      </c>
      <c r="M78">
        <v>1912</v>
      </c>
      <c r="N78">
        <v>2.4491999999999998</v>
      </c>
      <c r="O78">
        <v>0.37109999999999999</v>
      </c>
      <c r="P78">
        <v>18.6953</v>
      </c>
      <c r="Q78">
        <v>11.255800000000001</v>
      </c>
      <c r="R78">
        <v>14.0777</v>
      </c>
      <c r="S78">
        <v>20.630500000000001</v>
      </c>
      <c r="T78">
        <v>0.34920000000000001</v>
      </c>
      <c r="U78">
        <v>24.9236</v>
      </c>
      <c r="V78">
        <v>107300</v>
      </c>
      <c r="W78">
        <v>0.1186</v>
      </c>
      <c r="X78">
        <f t="shared" si="1"/>
        <v>-9.2178270986218013E-3</v>
      </c>
    </row>
    <row r="79" spans="1:24" x14ac:dyDescent="0.3">
      <c r="A79">
        <v>2016</v>
      </c>
      <c r="B79" s="1" t="s">
        <v>31</v>
      </c>
      <c r="C79" s="1" t="s">
        <v>32</v>
      </c>
      <c r="D79">
        <v>171.88</v>
      </c>
      <c r="E79">
        <v>59387</v>
      </c>
      <c r="F79">
        <v>36233</v>
      </c>
      <c r="G79">
        <v>10316</v>
      </c>
      <c r="H79">
        <v>2.12</v>
      </c>
      <c r="I79">
        <v>20923</v>
      </c>
      <c r="J79">
        <v>66226</v>
      </c>
      <c r="K79">
        <v>21808</v>
      </c>
      <c r="L79">
        <v>-25817</v>
      </c>
      <c r="M79">
        <v>-5739</v>
      </c>
      <c r="N79">
        <v>1.7490000000000001</v>
      </c>
      <c r="O79">
        <v>0.38179999999999997</v>
      </c>
      <c r="P79">
        <v>15.577</v>
      </c>
      <c r="Q79">
        <v>9.1029</v>
      </c>
      <c r="R79">
        <v>11.874499999999999</v>
      </c>
      <c r="S79">
        <v>17.370799999999999</v>
      </c>
      <c r="T79">
        <v>0.1101</v>
      </c>
      <c r="U79">
        <v>24.197199999999999</v>
      </c>
      <c r="V79">
        <v>106000</v>
      </c>
      <c r="W79">
        <v>1.2616000000000001</v>
      </c>
      <c r="X79">
        <f t="shared" si="1"/>
        <v>7.2838948604462106E-2</v>
      </c>
    </row>
    <row r="80" spans="1:24" x14ac:dyDescent="0.3">
      <c r="A80">
        <v>2017</v>
      </c>
      <c r="B80" s="1" t="s">
        <v>31</v>
      </c>
      <c r="C80" s="1" t="s">
        <v>32</v>
      </c>
      <c r="D80">
        <v>216.03</v>
      </c>
      <c r="E80">
        <v>62761</v>
      </c>
      <c r="F80">
        <v>39098</v>
      </c>
      <c r="G80">
        <v>9601</v>
      </c>
      <c r="H80">
        <v>1.99</v>
      </c>
      <c r="I80">
        <v>26179</v>
      </c>
      <c r="J80">
        <v>69019</v>
      </c>
      <c r="K80">
        <v>22110</v>
      </c>
      <c r="L80">
        <v>-15762</v>
      </c>
      <c r="M80">
        <v>-8475</v>
      </c>
      <c r="N80">
        <v>1.6934</v>
      </c>
      <c r="O80">
        <v>0.38850000000000001</v>
      </c>
      <c r="P80">
        <v>13.9107</v>
      </c>
      <c r="Q80">
        <v>7.7899000000000003</v>
      </c>
      <c r="R80">
        <v>10.207800000000001</v>
      </c>
      <c r="S80">
        <v>15.297700000000001</v>
      </c>
      <c r="T80">
        <v>-0.36220000000000002</v>
      </c>
      <c r="U80">
        <v>30.1113</v>
      </c>
      <c r="V80">
        <v>102700</v>
      </c>
      <c r="W80">
        <v>2.1301000000000001</v>
      </c>
      <c r="X80">
        <f t="shared" si="1"/>
        <v>5.6813780793776414E-2</v>
      </c>
    </row>
    <row r="81" spans="1:24" x14ac:dyDescent="0.3">
      <c r="A81">
        <v>2018</v>
      </c>
      <c r="B81" s="1" t="s">
        <v>31</v>
      </c>
      <c r="C81" s="1" t="s">
        <v>32</v>
      </c>
      <c r="D81">
        <v>214.19</v>
      </c>
      <c r="E81">
        <v>70848</v>
      </c>
      <c r="F81">
        <v>43737</v>
      </c>
      <c r="G81">
        <v>21053</v>
      </c>
      <c r="H81">
        <v>4.4800000000000004</v>
      </c>
      <c r="I81">
        <v>32401</v>
      </c>
      <c r="J81">
        <v>74563</v>
      </c>
      <c r="K81">
        <v>29432</v>
      </c>
      <c r="L81">
        <v>-11239</v>
      </c>
      <c r="M81">
        <v>-18607</v>
      </c>
      <c r="N81">
        <v>1.7314000000000001</v>
      </c>
      <c r="O81">
        <v>0.35349999999999998</v>
      </c>
      <c r="P81">
        <v>28.235199999999999</v>
      </c>
      <c r="Q81">
        <v>16.452400000000001</v>
      </c>
      <c r="R81">
        <v>21.124600000000001</v>
      </c>
      <c r="S81">
        <v>29.715699999999998</v>
      </c>
      <c r="T81">
        <v>0.89459999999999995</v>
      </c>
      <c r="U81">
        <v>55.092399999999998</v>
      </c>
      <c r="V81">
        <v>107400</v>
      </c>
      <c r="W81">
        <v>2.4426000000000001</v>
      </c>
      <c r="X81">
        <f t="shared" si="1"/>
        <v>0.12885390608817579</v>
      </c>
    </row>
    <row r="82" spans="1:24" x14ac:dyDescent="0.3">
      <c r="A82">
        <v>2019</v>
      </c>
      <c r="B82" s="1" t="s">
        <v>31</v>
      </c>
      <c r="C82" s="1" t="s">
        <v>32</v>
      </c>
      <c r="D82">
        <v>260.35000000000002</v>
      </c>
      <c r="E82">
        <v>71965</v>
      </c>
      <c r="F82">
        <v>42140</v>
      </c>
      <c r="G82">
        <v>21048</v>
      </c>
      <c r="H82">
        <v>4.71</v>
      </c>
      <c r="I82">
        <v>32861</v>
      </c>
      <c r="J82">
        <v>77504</v>
      </c>
      <c r="K82">
        <v>33145</v>
      </c>
      <c r="L82">
        <v>-14405</v>
      </c>
      <c r="M82">
        <v>-17565</v>
      </c>
      <c r="N82">
        <v>1.4001999999999999</v>
      </c>
      <c r="O82">
        <v>0.37419999999999998</v>
      </c>
      <c r="P82">
        <v>27.157299999999999</v>
      </c>
      <c r="Q82">
        <v>15.4171</v>
      </c>
      <c r="R82">
        <v>20.472300000000001</v>
      </c>
      <c r="S82">
        <v>29.247599999999998</v>
      </c>
      <c r="T82">
        <v>0.75390000000000001</v>
      </c>
      <c r="U82">
        <v>52.097700000000003</v>
      </c>
      <c r="V82">
        <v>110800</v>
      </c>
      <c r="W82">
        <v>1.8122</v>
      </c>
      <c r="X82">
        <f t="shared" si="1"/>
        <v>1.5766147244805781E-2</v>
      </c>
    </row>
    <row r="83" spans="1:24" x14ac:dyDescent="0.3">
      <c r="A83">
        <v>2020</v>
      </c>
      <c r="B83" s="1" t="s">
        <v>31</v>
      </c>
      <c r="C83" s="1" t="s">
        <v>32</v>
      </c>
      <c r="D83">
        <v>104.16</v>
      </c>
      <c r="E83">
        <v>77867</v>
      </c>
      <c r="F83">
        <v>43612</v>
      </c>
      <c r="G83">
        <v>20899</v>
      </c>
      <c r="H83">
        <v>4.9400000000000004</v>
      </c>
      <c r="I83">
        <v>35917</v>
      </c>
      <c r="J83">
        <v>81038</v>
      </c>
      <c r="K83">
        <v>35864</v>
      </c>
      <c r="L83">
        <v>-21524</v>
      </c>
      <c r="M83">
        <v>-12669</v>
      </c>
      <c r="N83">
        <v>1.9087000000000001</v>
      </c>
      <c r="O83">
        <v>0.44919999999999999</v>
      </c>
      <c r="P83">
        <v>25.789100000000001</v>
      </c>
      <c r="Q83">
        <v>13.651400000000001</v>
      </c>
      <c r="R83">
        <v>18.183299999999999</v>
      </c>
      <c r="S83">
        <v>26.839400000000001</v>
      </c>
      <c r="T83">
        <v>1.2739</v>
      </c>
      <c r="U83">
        <v>46.4</v>
      </c>
      <c r="V83">
        <v>110600</v>
      </c>
      <c r="W83">
        <v>1.2336</v>
      </c>
      <c r="X83">
        <f t="shared" si="1"/>
        <v>8.2012089210032654E-2</v>
      </c>
    </row>
    <row r="84" spans="1:24" x14ac:dyDescent="0.3">
      <c r="A84">
        <v>2021</v>
      </c>
      <c r="B84" s="1" t="s">
        <v>31</v>
      </c>
      <c r="C84" s="1" t="s">
        <v>32</v>
      </c>
      <c r="D84">
        <v>209.45</v>
      </c>
      <c r="E84">
        <v>79024</v>
      </c>
      <c r="F84">
        <v>43815</v>
      </c>
      <c r="G84">
        <v>19868</v>
      </c>
      <c r="H84">
        <v>4.8600000000000003</v>
      </c>
      <c r="I84">
        <v>31248</v>
      </c>
      <c r="J84">
        <v>95391</v>
      </c>
      <c r="K84">
        <v>29456</v>
      </c>
      <c r="L84">
        <v>-24449</v>
      </c>
      <c r="M84">
        <v>-6045</v>
      </c>
      <c r="N84">
        <v>2.1322999999999999</v>
      </c>
      <c r="O84">
        <v>0.39939999999999998</v>
      </c>
      <c r="P84">
        <v>20.827999999999999</v>
      </c>
      <c r="Q84">
        <v>11.797700000000001</v>
      </c>
      <c r="R84">
        <v>15.413399999999999</v>
      </c>
      <c r="S84">
        <v>25.1417</v>
      </c>
      <c r="T84">
        <v>-2.8277999999999999</v>
      </c>
      <c r="U84">
        <v>32.486400000000003</v>
      </c>
      <c r="V84">
        <v>121100</v>
      </c>
      <c r="W84">
        <v>4.6978999999999997</v>
      </c>
      <c r="X84">
        <f t="shared" si="1"/>
        <v>1.4858669269395251E-2</v>
      </c>
    </row>
    <row r="85" spans="1:24" x14ac:dyDescent="0.3">
      <c r="A85">
        <v>2022</v>
      </c>
      <c r="B85" s="1" t="s">
        <v>31</v>
      </c>
      <c r="C85" s="1" t="s">
        <v>32</v>
      </c>
      <c r="D85">
        <v>109.08</v>
      </c>
      <c r="E85">
        <v>63054</v>
      </c>
      <c r="F85">
        <v>26866</v>
      </c>
      <c r="G85">
        <v>8014</v>
      </c>
      <c r="H85">
        <v>1.94</v>
      </c>
      <c r="I85">
        <v>15369</v>
      </c>
      <c r="J85">
        <v>103286</v>
      </c>
      <c r="K85">
        <v>15433</v>
      </c>
      <c r="L85">
        <v>-10477</v>
      </c>
      <c r="M85">
        <v>1361</v>
      </c>
      <c r="N85">
        <v>1.5676000000000001</v>
      </c>
      <c r="O85">
        <v>0.40710000000000002</v>
      </c>
      <c r="P85">
        <v>7.7618999999999998</v>
      </c>
      <c r="Q85">
        <v>4.4024999999999999</v>
      </c>
      <c r="R85">
        <v>5.6870000000000003</v>
      </c>
      <c r="S85">
        <v>12.7097</v>
      </c>
      <c r="T85">
        <v>-4.5640000000000001</v>
      </c>
      <c r="U85">
        <v>11.506</v>
      </c>
      <c r="V85">
        <v>131900</v>
      </c>
      <c r="W85">
        <v>8.0028000000000006</v>
      </c>
      <c r="X85">
        <f t="shared" si="1"/>
        <v>-0.20209050415063778</v>
      </c>
    </row>
    <row r="86" spans="1:24" x14ac:dyDescent="0.3">
      <c r="A86">
        <v>2009</v>
      </c>
      <c r="B86" s="1" t="s">
        <v>33</v>
      </c>
      <c r="C86" s="1" t="s">
        <v>34</v>
      </c>
      <c r="D86">
        <v>81.099999999999994</v>
      </c>
      <c r="E86">
        <v>22744.7</v>
      </c>
      <c r="F86">
        <v>8791.7999999999993</v>
      </c>
      <c r="G86">
        <v>4551</v>
      </c>
      <c r="H86">
        <v>4.1100000000000003</v>
      </c>
      <c r="I86">
        <v>8057.2</v>
      </c>
      <c r="J86">
        <v>14033.9</v>
      </c>
      <c r="K86">
        <v>5751</v>
      </c>
      <c r="L86">
        <v>-1655.3</v>
      </c>
      <c r="M86">
        <v>-4421</v>
      </c>
      <c r="N86">
        <v>1.1431</v>
      </c>
      <c r="O86">
        <v>0.75380000000000003</v>
      </c>
      <c r="P86">
        <v>32.428600000000003</v>
      </c>
      <c r="Q86">
        <v>15.0571</v>
      </c>
      <c r="R86">
        <v>18.5044</v>
      </c>
      <c r="S86">
        <v>20.0091</v>
      </c>
      <c r="T86">
        <v>3.4304999999999999</v>
      </c>
      <c r="U86">
        <v>39.203400000000002</v>
      </c>
      <c r="V86">
        <v>385000</v>
      </c>
      <c r="W86">
        <v>-0.35549999999999998</v>
      </c>
      <c r="X86" t="str">
        <f t="shared" si="1"/>
        <v/>
      </c>
    </row>
    <row r="87" spans="1:24" x14ac:dyDescent="0.3">
      <c r="A87">
        <v>2010</v>
      </c>
      <c r="B87" s="1" t="s">
        <v>33</v>
      </c>
      <c r="C87" s="1" t="s">
        <v>34</v>
      </c>
      <c r="D87">
        <v>102.66</v>
      </c>
      <c r="E87">
        <v>24074.6</v>
      </c>
      <c r="F87">
        <v>9637.2999999999993</v>
      </c>
      <c r="G87">
        <v>4946.3</v>
      </c>
      <c r="H87">
        <v>4.58</v>
      </c>
      <c r="I87">
        <v>8749.2999999999993</v>
      </c>
      <c r="J87">
        <v>14634.2</v>
      </c>
      <c r="K87">
        <v>6341.6</v>
      </c>
      <c r="L87">
        <v>-2056</v>
      </c>
      <c r="M87">
        <v>-3728.7</v>
      </c>
      <c r="N87">
        <v>1.4937</v>
      </c>
      <c r="O87">
        <v>0.78620000000000001</v>
      </c>
      <c r="P87">
        <v>33.799599999999998</v>
      </c>
      <c r="Q87">
        <v>15.469200000000001</v>
      </c>
      <c r="R87">
        <v>18.928699999999999</v>
      </c>
      <c r="S87">
        <v>20.5457</v>
      </c>
      <c r="T87">
        <v>0.46300000000000002</v>
      </c>
      <c r="U87">
        <v>41.054600000000001</v>
      </c>
      <c r="V87">
        <v>400000</v>
      </c>
      <c r="W87">
        <v>1.64</v>
      </c>
      <c r="X87">
        <f t="shared" si="1"/>
        <v>5.8470764617691059E-2</v>
      </c>
    </row>
    <row r="88" spans="1:24" x14ac:dyDescent="0.3">
      <c r="A88">
        <v>2011</v>
      </c>
      <c r="B88" s="1" t="s">
        <v>33</v>
      </c>
      <c r="C88" s="1" t="s">
        <v>34</v>
      </c>
      <c r="D88">
        <v>88.56</v>
      </c>
      <c r="E88">
        <v>27006</v>
      </c>
      <c r="F88">
        <v>10686.6</v>
      </c>
      <c r="G88">
        <v>5503.1</v>
      </c>
      <c r="H88">
        <v>5.27</v>
      </c>
      <c r="I88">
        <v>9944.7009999999991</v>
      </c>
      <c r="J88">
        <v>14390.2</v>
      </c>
      <c r="K88">
        <v>7150.1</v>
      </c>
      <c r="L88">
        <v>-2570.9</v>
      </c>
      <c r="M88">
        <v>-4533</v>
      </c>
      <c r="N88">
        <v>1.2546999999999999</v>
      </c>
      <c r="O88">
        <v>0.86870000000000003</v>
      </c>
      <c r="P88">
        <v>38.241999999999997</v>
      </c>
      <c r="Q88">
        <v>16.6812</v>
      </c>
      <c r="R88">
        <v>20.747599999999998</v>
      </c>
      <c r="S88">
        <v>20.377300000000002</v>
      </c>
      <c r="T88">
        <v>0.33689999999999998</v>
      </c>
      <c r="U88">
        <v>46.886800000000001</v>
      </c>
      <c r="V88">
        <v>420000</v>
      </c>
      <c r="W88">
        <v>3.1568000000000001</v>
      </c>
      <c r="X88">
        <f t="shared" si="1"/>
        <v>0.12176318609654996</v>
      </c>
    </row>
    <row r="89" spans="1:24" x14ac:dyDescent="0.3">
      <c r="A89">
        <v>2012</v>
      </c>
      <c r="B89" s="1" t="s">
        <v>33</v>
      </c>
      <c r="C89" s="1" t="s">
        <v>34</v>
      </c>
      <c r="D89">
        <v>96.55</v>
      </c>
      <c r="E89">
        <v>27567</v>
      </c>
      <c r="F89">
        <v>10816.3</v>
      </c>
      <c r="G89">
        <v>5464.8</v>
      </c>
      <c r="H89">
        <v>5.36</v>
      </c>
      <c r="I89">
        <v>10093.1</v>
      </c>
      <c r="J89">
        <v>15293.6</v>
      </c>
      <c r="K89">
        <v>6966.1</v>
      </c>
      <c r="L89">
        <v>-3167.3</v>
      </c>
      <c r="M89">
        <v>-3849.8</v>
      </c>
      <c r="N89">
        <v>1.4463999999999999</v>
      </c>
      <c r="O89">
        <v>0.89139999999999997</v>
      </c>
      <c r="P89">
        <v>35.732599999999998</v>
      </c>
      <c r="Q89">
        <v>15.443199999999999</v>
      </c>
      <c r="R89">
        <v>18.892299999999999</v>
      </c>
      <c r="S89">
        <v>19.823699999999999</v>
      </c>
      <c r="T89">
        <v>-0.3911</v>
      </c>
      <c r="U89">
        <v>43.754800000000003</v>
      </c>
      <c r="V89">
        <v>440000</v>
      </c>
      <c r="W89">
        <v>2.0693000000000001</v>
      </c>
      <c r="X89">
        <f t="shared" si="1"/>
        <v>2.0773161519662298E-2</v>
      </c>
    </row>
    <row r="90" spans="1:24" x14ac:dyDescent="0.3">
      <c r="A90">
        <v>2013</v>
      </c>
      <c r="B90" s="1" t="s">
        <v>33</v>
      </c>
      <c r="C90" s="1" t="s">
        <v>34</v>
      </c>
      <c r="D90">
        <v>91.19</v>
      </c>
      <c r="E90">
        <v>28105.7</v>
      </c>
      <c r="F90">
        <v>10902.7</v>
      </c>
      <c r="G90">
        <v>5585.9</v>
      </c>
      <c r="H90">
        <v>5.55</v>
      </c>
      <c r="I90">
        <v>10349.4</v>
      </c>
      <c r="J90">
        <v>16009.7</v>
      </c>
      <c r="K90">
        <v>7120.7</v>
      </c>
      <c r="L90">
        <v>-2673.8</v>
      </c>
      <c r="M90">
        <v>-4043</v>
      </c>
      <c r="N90">
        <v>1.5931</v>
      </c>
      <c r="O90">
        <v>0.88260000000000005</v>
      </c>
      <c r="P90">
        <v>34.890700000000002</v>
      </c>
      <c r="Q90">
        <v>15.251099999999999</v>
      </c>
      <c r="R90">
        <v>18.5335</v>
      </c>
      <c r="S90">
        <v>19.874600000000001</v>
      </c>
      <c r="T90">
        <v>0.43109999999999998</v>
      </c>
      <c r="U90">
        <v>42.520400000000002</v>
      </c>
      <c r="V90">
        <v>440000</v>
      </c>
      <c r="W90">
        <v>1.4648000000000001</v>
      </c>
      <c r="X90">
        <f t="shared" si="1"/>
        <v>1.9541480755976375E-2</v>
      </c>
    </row>
    <row r="91" spans="1:24" x14ac:dyDescent="0.3">
      <c r="A91">
        <v>2014</v>
      </c>
      <c r="B91" s="1" t="s">
        <v>33</v>
      </c>
      <c r="C91" s="1" t="s">
        <v>34</v>
      </c>
      <c r="D91">
        <v>108.48</v>
      </c>
      <c r="E91">
        <v>27441.3</v>
      </c>
      <c r="F91">
        <v>10455.700000000001</v>
      </c>
      <c r="G91">
        <v>4757.8</v>
      </c>
      <c r="H91">
        <v>4.82</v>
      </c>
      <c r="I91">
        <v>9593.7009999999991</v>
      </c>
      <c r="J91">
        <v>12853.4</v>
      </c>
      <c r="K91">
        <v>6730.3</v>
      </c>
      <c r="L91">
        <v>-2304.9</v>
      </c>
      <c r="M91">
        <v>-4618.3</v>
      </c>
      <c r="N91">
        <v>1.5232000000000001</v>
      </c>
      <c r="O91">
        <v>1.1619999999999999</v>
      </c>
      <c r="P91">
        <v>37.015900000000002</v>
      </c>
      <c r="Q91">
        <v>13.900600000000001</v>
      </c>
      <c r="R91">
        <v>17.121099999999998</v>
      </c>
      <c r="S91">
        <v>17.338100000000001</v>
      </c>
      <c r="T91">
        <v>2.2100000000000002E-2</v>
      </c>
      <c r="U91">
        <v>47.0227</v>
      </c>
      <c r="V91">
        <v>420000</v>
      </c>
      <c r="W91">
        <v>1.6222000000000001</v>
      </c>
      <c r="X91">
        <f t="shared" si="1"/>
        <v>-2.3639332946697695E-2</v>
      </c>
    </row>
    <row r="92" spans="1:24" x14ac:dyDescent="0.3">
      <c r="A92">
        <v>2015</v>
      </c>
      <c r="B92" s="1" t="s">
        <v>33</v>
      </c>
      <c r="C92" s="1" t="s">
        <v>34</v>
      </c>
      <c r="D92">
        <v>101.08</v>
      </c>
      <c r="E92">
        <v>25413</v>
      </c>
      <c r="F92">
        <v>9789.2000000000007</v>
      </c>
      <c r="G92">
        <v>4529.3</v>
      </c>
      <c r="H92">
        <v>4.8</v>
      </c>
      <c r="I92">
        <v>8701.2000000000007</v>
      </c>
      <c r="J92">
        <v>7087.9</v>
      </c>
      <c r="K92">
        <v>6539.1</v>
      </c>
      <c r="L92">
        <v>-1420</v>
      </c>
      <c r="M92">
        <v>735.3</v>
      </c>
      <c r="N92">
        <v>3.2684000000000002</v>
      </c>
      <c r="O92">
        <v>3.4033000000000002</v>
      </c>
      <c r="P92">
        <v>63.901899999999998</v>
      </c>
      <c r="Q92">
        <v>11.938499999999999</v>
      </c>
      <c r="R92">
        <v>14.5123</v>
      </c>
      <c r="S92">
        <v>17.822800000000001</v>
      </c>
      <c r="T92">
        <v>0.93540000000000001</v>
      </c>
      <c r="U92">
        <v>99.074799999999996</v>
      </c>
      <c r="V92">
        <v>420000</v>
      </c>
      <c r="W92">
        <v>0.1186</v>
      </c>
      <c r="X92">
        <f t="shared" si="1"/>
        <v>-7.391413672092792E-2</v>
      </c>
    </row>
    <row r="93" spans="1:24" x14ac:dyDescent="0.3">
      <c r="A93">
        <v>2016</v>
      </c>
      <c r="B93" s="1" t="s">
        <v>33</v>
      </c>
      <c r="C93" s="1" t="s">
        <v>34</v>
      </c>
      <c r="D93">
        <v>137.21</v>
      </c>
      <c r="E93">
        <v>24621.9</v>
      </c>
      <c r="F93">
        <v>10204.700000000001</v>
      </c>
      <c r="G93">
        <v>4686.5</v>
      </c>
      <c r="H93">
        <v>5.44</v>
      </c>
      <c r="I93">
        <v>9261.0020000000004</v>
      </c>
      <c r="J93">
        <v>-2204.3000000000002</v>
      </c>
      <c r="K93">
        <v>6059.6</v>
      </c>
      <c r="L93">
        <v>-981.6</v>
      </c>
      <c r="M93">
        <v>-11262.4</v>
      </c>
      <c r="N93">
        <v>1.3979999999999999</v>
      </c>
      <c r="O93">
        <v>-11.775</v>
      </c>
      <c r="P93">
        <v>-212.6069</v>
      </c>
      <c r="Q93">
        <v>15.1061</v>
      </c>
      <c r="R93">
        <v>19.7958</v>
      </c>
      <c r="S93">
        <v>19.033899999999999</v>
      </c>
      <c r="T93">
        <v>-0.21</v>
      </c>
      <c r="U93">
        <v>-103.20869999999999</v>
      </c>
      <c r="V93">
        <v>375000</v>
      </c>
      <c r="W93">
        <v>1.2616000000000001</v>
      </c>
      <c r="X93">
        <f t="shared" si="1"/>
        <v>-3.1129736748907982E-2</v>
      </c>
    </row>
    <row r="94" spans="1:24" x14ac:dyDescent="0.3">
      <c r="A94">
        <v>2017</v>
      </c>
      <c r="B94" s="1" t="s">
        <v>33</v>
      </c>
      <c r="C94" s="1" t="s">
        <v>34</v>
      </c>
      <c r="D94">
        <v>136.88999999999999</v>
      </c>
      <c r="E94">
        <v>22820.400000000001</v>
      </c>
      <c r="F94">
        <v>10620.8</v>
      </c>
      <c r="G94">
        <v>5192.3</v>
      </c>
      <c r="H94">
        <v>6.37</v>
      </c>
      <c r="I94">
        <v>10916.1</v>
      </c>
      <c r="J94">
        <v>-3268</v>
      </c>
      <c r="K94">
        <v>5551.2</v>
      </c>
      <c r="L94">
        <v>562</v>
      </c>
      <c r="M94">
        <v>-5310.8</v>
      </c>
      <c r="N94">
        <v>1.8429</v>
      </c>
      <c r="O94">
        <v>-9.0381</v>
      </c>
      <c r="P94">
        <v>-158.88319999999999</v>
      </c>
      <c r="Q94">
        <v>15.360200000000001</v>
      </c>
      <c r="R94">
        <v>19.766300000000001</v>
      </c>
      <c r="S94">
        <v>22.7529</v>
      </c>
      <c r="T94">
        <v>-0.27929999999999999</v>
      </c>
      <c r="U94">
        <v>-91.936499999999995</v>
      </c>
      <c r="V94">
        <v>235000</v>
      </c>
      <c r="W94">
        <v>2.1301000000000001</v>
      </c>
      <c r="X94">
        <f t="shared" si="1"/>
        <v>-7.3166571223179364E-2</v>
      </c>
    </row>
    <row r="95" spans="1:24" x14ac:dyDescent="0.3">
      <c r="A95">
        <v>2018</v>
      </c>
      <c r="B95" s="1" t="s">
        <v>33</v>
      </c>
      <c r="C95" s="1" t="s">
        <v>34</v>
      </c>
      <c r="D95">
        <v>148.82</v>
      </c>
      <c r="E95">
        <v>21257.9</v>
      </c>
      <c r="F95">
        <v>10832.6</v>
      </c>
      <c r="G95">
        <v>5924.3</v>
      </c>
      <c r="H95">
        <v>7.54</v>
      </c>
      <c r="I95">
        <v>10304.6</v>
      </c>
      <c r="J95">
        <v>-6258.4</v>
      </c>
      <c r="K95">
        <v>6966.7</v>
      </c>
      <c r="L95">
        <v>-2455.1</v>
      </c>
      <c r="M95">
        <v>-5949.6</v>
      </c>
      <c r="N95">
        <v>1.3631</v>
      </c>
      <c r="O95">
        <v>-4.9653999999999998</v>
      </c>
      <c r="P95">
        <v>-94.661600000000007</v>
      </c>
      <c r="Q95">
        <v>18.055700000000002</v>
      </c>
      <c r="R95">
        <v>23.872</v>
      </c>
      <c r="S95">
        <v>27.8687</v>
      </c>
      <c r="T95">
        <v>0.84360000000000002</v>
      </c>
      <c r="U95">
        <v>-68.968199999999996</v>
      </c>
      <c r="V95">
        <v>210000</v>
      </c>
      <c r="W95">
        <v>2.4426000000000001</v>
      </c>
      <c r="X95">
        <f t="shared" si="1"/>
        <v>-6.8469439624195896E-2</v>
      </c>
    </row>
    <row r="96" spans="1:24" x14ac:dyDescent="0.3">
      <c r="A96">
        <v>2019</v>
      </c>
      <c r="B96" s="1" t="s">
        <v>33</v>
      </c>
      <c r="C96" s="1" t="s">
        <v>34</v>
      </c>
      <c r="D96">
        <v>159.88999999999999</v>
      </c>
      <c r="E96">
        <v>21364.400000000001</v>
      </c>
      <c r="F96">
        <v>11179.4</v>
      </c>
      <c r="G96">
        <v>6025.4</v>
      </c>
      <c r="H96">
        <v>7.88</v>
      </c>
      <c r="I96">
        <v>10687.7</v>
      </c>
      <c r="J96">
        <v>-8210.2999999999993</v>
      </c>
      <c r="K96">
        <v>8122.1</v>
      </c>
      <c r="L96">
        <v>-3071.1</v>
      </c>
      <c r="M96">
        <v>-4994.8</v>
      </c>
      <c r="N96">
        <v>0.98260000000000003</v>
      </c>
      <c r="O96">
        <v>-4.1627000000000001</v>
      </c>
      <c r="P96">
        <v>-73.388300000000001</v>
      </c>
      <c r="Q96">
        <v>12.6822</v>
      </c>
      <c r="R96">
        <v>23.257100000000001</v>
      </c>
      <c r="S96">
        <v>28.202999999999999</v>
      </c>
      <c r="T96">
        <v>2.1046</v>
      </c>
      <c r="U96">
        <v>-55.3414</v>
      </c>
      <c r="V96">
        <v>205000</v>
      </c>
      <c r="W96">
        <v>1.8122</v>
      </c>
      <c r="X96">
        <f t="shared" si="1"/>
        <v>5.0099022010640743E-3</v>
      </c>
    </row>
    <row r="97" spans="1:24" x14ac:dyDescent="0.3">
      <c r="A97">
        <v>2020</v>
      </c>
      <c r="B97" s="1" t="s">
        <v>33</v>
      </c>
      <c r="C97" s="1" t="s">
        <v>34</v>
      </c>
      <c r="D97">
        <v>200.31</v>
      </c>
      <c r="E97">
        <v>19207.8</v>
      </c>
      <c r="F97">
        <v>9752.1010000000006</v>
      </c>
      <c r="G97">
        <v>4730.5</v>
      </c>
      <c r="H97">
        <v>6.31</v>
      </c>
      <c r="I97">
        <v>9075.4</v>
      </c>
      <c r="J97">
        <v>-7824.9</v>
      </c>
      <c r="K97">
        <v>6265.2</v>
      </c>
      <c r="L97">
        <v>-1545.8</v>
      </c>
      <c r="M97">
        <v>-2249</v>
      </c>
      <c r="N97">
        <v>1.01</v>
      </c>
      <c r="O97">
        <v>-4.7847999999999997</v>
      </c>
      <c r="P97">
        <v>-60.454500000000003</v>
      </c>
      <c r="Q97">
        <v>8.9887999999999995</v>
      </c>
      <c r="R97">
        <v>17.282299999999999</v>
      </c>
      <c r="S97">
        <v>24.628</v>
      </c>
      <c r="T97">
        <v>-1.4852000000000001</v>
      </c>
      <c r="U97">
        <v>-44.635800000000003</v>
      </c>
      <c r="V97">
        <v>200000</v>
      </c>
      <c r="W97">
        <v>1.2336</v>
      </c>
      <c r="X97">
        <f t="shared" si="1"/>
        <v>-0.10094362584486351</v>
      </c>
    </row>
    <row r="98" spans="1:24" x14ac:dyDescent="0.3">
      <c r="A98">
        <v>2021</v>
      </c>
      <c r="B98" s="1" t="s">
        <v>33</v>
      </c>
      <c r="C98" s="1" t="s">
        <v>34</v>
      </c>
      <c r="D98">
        <v>193.02</v>
      </c>
      <c r="E98">
        <v>23222.9</v>
      </c>
      <c r="F98">
        <v>12580.2</v>
      </c>
      <c r="G98">
        <v>7545.2</v>
      </c>
      <c r="H98">
        <v>10.039999999999999</v>
      </c>
      <c r="I98">
        <v>12224.1</v>
      </c>
      <c r="J98">
        <v>-4601</v>
      </c>
      <c r="K98">
        <v>9141.5</v>
      </c>
      <c r="L98">
        <v>-2165.6999999999998</v>
      </c>
      <c r="M98">
        <v>-5595.6</v>
      </c>
      <c r="N98">
        <v>1.7782</v>
      </c>
      <c r="O98">
        <v>-7.7423999999999999</v>
      </c>
      <c r="P98">
        <v>-163.99029999999999</v>
      </c>
      <c r="Q98">
        <v>14.010400000000001</v>
      </c>
      <c r="R98">
        <v>24.322299999999998</v>
      </c>
      <c r="S98">
        <v>32.490299999999998</v>
      </c>
      <c r="T98">
        <v>3.3856999999999999</v>
      </c>
      <c r="U98">
        <v>-102.19</v>
      </c>
      <c r="V98">
        <v>200000</v>
      </c>
      <c r="W98">
        <v>4.6978999999999997</v>
      </c>
      <c r="X98">
        <f t="shared" si="1"/>
        <v>0.20903487125022138</v>
      </c>
    </row>
    <row r="99" spans="1:24" x14ac:dyDescent="0.3">
      <c r="A99">
        <v>2022</v>
      </c>
      <c r="B99" s="1" t="s">
        <v>33</v>
      </c>
      <c r="C99" s="1" t="s">
        <v>34</v>
      </c>
      <c r="D99">
        <v>186.39</v>
      </c>
      <c r="E99">
        <v>23182.6</v>
      </c>
      <c r="F99">
        <v>13207.2</v>
      </c>
      <c r="G99">
        <v>6177.4</v>
      </c>
      <c r="H99">
        <v>8.33</v>
      </c>
      <c r="I99">
        <v>11241.6</v>
      </c>
      <c r="J99">
        <v>-6003.4</v>
      </c>
      <c r="K99">
        <v>7386.7</v>
      </c>
      <c r="L99">
        <v>-2678.1</v>
      </c>
      <c r="M99">
        <v>-6580.2</v>
      </c>
      <c r="N99">
        <v>1.4266000000000001</v>
      </c>
      <c r="O99">
        <v>-5.9805000000000001</v>
      </c>
      <c r="P99">
        <v>-102.89830000000001</v>
      </c>
      <c r="Q99">
        <v>12.248100000000001</v>
      </c>
      <c r="R99">
        <v>20.6601</v>
      </c>
      <c r="S99">
        <v>26.646699999999999</v>
      </c>
      <c r="T99">
        <v>-2.1322999999999999</v>
      </c>
      <c r="U99">
        <v>-69.379400000000004</v>
      </c>
      <c r="V99">
        <v>150000</v>
      </c>
      <c r="W99">
        <v>8.0028000000000006</v>
      </c>
      <c r="X99">
        <f t="shared" si="1"/>
        <v>-1.7353560494168647E-3</v>
      </c>
    </row>
    <row r="100" spans="1:24" x14ac:dyDescent="0.3">
      <c r="A100">
        <v>2009</v>
      </c>
      <c r="B100" s="1" t="s">
        <v>35</v>
      </c>
      <c r="C100" s="1" t="s">
        <v>24</v>
      </c>
      <c r="D100">
        <v>270.64</v>
      </c>
      <c r="E100">
        <v>58437</v>
      </c>
      <c r="F100">
        <v>46282</v>
      </c>
      <c r="G100">
        <v>14569</v>
      </c>
      <c r="H100">
        <v>1.62</v>
      </c>
      <c r="I100">
        <v>22925</v>
      </c>
      <c r="J100">
        <v>39558</v>
      </c>
      <c r="K100">
        <v>19037</v>
      </c>
      <c r="L100">
        <v>-15770</v>
      </c>
      <c r="M100">
        <v>-7463</v>
      </c>
      <c r="N100">
        <v>1.8229</v>
      </c>
      <c r="O100">
        <v>0.14530000000000001</v>
      </c>
      <c r="P100">
        <v>36.829500000000003</v>
      </c>
      <c r="Q100">
        <v>18.705100000000002</v>
      </c>
      <c r="R100">
        <v>33.643500000000003</v>
      </c>
      <c r="S100">
        <v>24.931100000000001</v>
      </c>
      <c r="T100">
        <v>1.7695000000000001</v>
      </c>
      <c r="U100">
        <v>57.594099999999997</v>
      </c>
      <c r="V100">
        <v>90000</v>
      </c>
      <c r="W100">
        <v>-0.35549999999999998</v>
      </c>
      <c r="X100" t="str">
        <f t="shared" si="1"/>
        <v/>
      </c>
    </row>
    <row r="101" spans="1:24" x14ac:dyDescent="0.3">
      <c r="A101">
        <v>2010</v>
      </c>
      <c r="B101" s="1" t="s">
        <v>35</v>
      </c>
      <c r="C101" s="1" t="s">
        <v>24</v>
      </c>
      <c r="D101">
        <v>238.78</v>
      </c>
      <c r="E101">
        <v>62484</v>
      </c>
      <c r="F101">
        <v>50089</v>
      </c>
      <c r="G101">
        <v>18760</v>
      </c>
      <c r="H101">
        <v>2.1</v>
      </c>
      <c r="I101">
        <v>26771</v>
      </c>
      <c r="J101">
        <v>46175</v>
      </c>
      <c r="K101">
        <v>24073</v>
      </c>
      <c r="L101">
        <v>-11314</v>
      </c>
      <c r="M101">
        <v>-13291</v>
      </c>
      <c r="N101">
        <v>2.1293000000000002</v>
      </c>
      <c r="O101">
        <v>0.12859999999999999</v>
      </c>
      <c r="P101">
        <v>40.628</v>
      </c>
      <c r="Q101">
        <v>21.785299999999999</v>
      </c>
      <c r="R101">
        <v>36.702300000000001</v>
      </c>
      <c r="S101">
        <v>30.023700000000002</v>
      </c>
      <c r="T101">
        <v>0.70569999999999999</v>
      </c>
      <c r="U101">
        <v>57.505400000000002</v>
      </c>
      <c r="V101">
        <v>94000</v>
      </c>
      <c r="W101">
        <v>1.64</v>
      </c>
      <c r="X101">
        <f t="shared" si="1"/>
        <v>6.9254068484008419E-2</v>
      </c>
    </row>
    <row r="102" spans="1:24" x14ac:dyDescent="0.3">
      <c r="A102">
        <v>2011</v>
      </c>
      <c r="B102" s="1" t="s">
        <v>35</v>
      </c>
      <c r="C102" s="1" t="s">
        <v>24</v>
      </c>
      <c r="D102">
        <v>218.38</v>
      </c>
      <c r="E102">
        <v>69943</v>
      </c>
      <c r="F102">
        <v>54366</v>
      </c>
      <c r="G102">
        <v>23150</v>
      </c>
      <c r="H102">
        <v>2.69</v>
      </c>
      <c r="I102">
        <v>29927</v>
      </c>
      <c r="J102">
        <v>57083</v>
      </c>
      <c r="K102">
        <v>26994</v>
      </c>
      <c r="L102">
        <v>-14616</v>
      </c>
      <c r="M102">
        <v>-8376</v>
      </c>
      <c r="N102">
        <v>2.6036999999999999</v>
      </c>
      <c r="O102">
        <v>0.20880000000000001</v>
      </c>
      <c r="P102">
        <v>40.555</v>
      </c>
      <c r="Q102">
        <v>21.296399999999998</v>
      </c>
      <c r="R102">
        <v>33.5488</v>
      </c>
      <c r="S102">
        <v>33.098399999999998</v>
      </c>
      <c r="T102">
        <v>0.3921</v>
      </c>
      <c r="U102">
        <v>52.904600000000002</v>
      </c>
      <c r="V102">
        <v>99000</v>
      </c>
      <c r="W102">
        <v>3.1568000000000001</v>
      </c>
      <c r="X102">
        <f t="shared" si="1"/>
        <v>0.11937455988733116</v>
      </c>
    </row>
    <row r="103" spans="1:24" x14ac:dyDescent="0.3">
      <c r="A103">
        <v>2012</v>
      </c>
      <c r="B103" s="1" t="s">
        <v>35</v>
      </c>
      <c r="C103" s="1" t="s">
        <v>24</v>
      </c>
      <c r="D103">
        <v>224.8</v>
      </c>
      <c r="E103">
        <v>73723</v>
      </c>
      <c r="F103">
        <v>56193</v>
      </c>
      <c r="G103">
        <v>16978</v>
      </c>
      <c r="H103">
        <v>2</v>
      </c>
      <c r="I103">
        <v>30923</v>
      </c>
      <c r="J103">
        <v>66363</v>
      </c>
      <c r="K103">
        <v>31626</v>
      </c>
      <c r="L103">
        <v>-24786</v>
      </c>
      <c r="M103">
        <v>-9408</v>
      </c>
      <c r="N103">
        <v>2.6029</v>
      </c>
      <c r="O103">
        <v>0.18</v>
      </c>
      <c r="P103">
        <v>25.583500000000001</v>
      </c>
      <c r="Q103">
        <v>14.0001</v>
      </c>
      <c r="R103">
        <v>22.0276</v>
      </c>
      <c r="S103">
        <v>23.029499999999999</v>
      </c>
      <c r="T103">
        <v>0.57979999999999998</v>
      </c>
      <c r="U103">
        <v>34.132800000000003</v>
      </c>
      <c r="V103">
        <v>128000</v>
      </c>
      <c r="W103">
        <v>2.0693000000000001</v>
      </c>
      <c r="X103">
        <f t="shared" si="1"/>
        <v>5.404400726305706E-2</v>
      </c>
    </row>
    <row r="104" spans="1:24" x14ac:dyDescent="0.3">
      <c r="A104">
        <v>2013</v>
      </c>
      <c r="B104" s="1" t="s">
        <v>35</v>
      </c>
      <c r="C104" s="1" t="s">
        <v>24</v>
      </c>
      <c r="D104">
        <v>312.3</v>
      </c>
      <c r="E104">
        <v>77849</v>
      </c>
      <c r="F104">
        <v>57464</v>
      </c>
      <c r="G104">
        <v>21863</v>
      </c>
      <c r="H104">
        <v>2.58</v>
      </c>
      <c r="I104">
        <v>30519</v>
      </c>
      <c r="J104">
        <v>78944</v>
      </c>
      <c r="K104">
        <v>28833</v>
      </c>
      <c r="L104">
        <v>-23811</v>
      </c>
      <c r="M104">
        <v>-8148</v>
      </c>
      <c r="N104">
        <v>2.7118000000000002</v>
      </c>
      <c r="O104">
        <v>0.1976</v>
      </c>
      <c r="P104">
        <v>27.694299999999998</v>
      </c>
      <c r="Q104">
        <v>15.3499</v>
      </c>
      <c r="R104">
        <v>23.882200000000001</v>
      </c>
      <c r="S104">
        <v>28.0839</v>
      </c>
      <c r="T104">
        <v>-0.54559999999999997</v>
      </c>
      <c r="U104">
        <v>35.720399999999998</v>
      </c>
      <c r="V104">
        <v>118000</v>
      </c>
      <c r="W104">
        <v>1.4648000000000001</v>
      </c>
      <c r="X104">
        <f t="shared" si="1"/>
        <v>5.5966252051598553E-2</v>
      </c>
    </row>
    <row r="105" spans="1:24" x14ac:dyDescent="0.3">
      <c r="A105">
        <v>2014</v>
      </c>
      <c r="B105" s="1" t="s">
        <v>35</v>
      </c>
      <c r="C105" s="1" t="s">
        <v>24</v>
      </c>
      <c r="D105">
        <v>382.88</v>
      </c>
      <c r="E105">
        <v>86833</v>
      </c>
      <c r="F105">
        <v>59755</v>
      </c>
      <c r="G105">
        <v>22074</v>
      </c>
      <c r="H105">
        <v>2.63</v>
      </c>
      <c r="I105">
        <v>32971</v>
      </c>
      <c r="J105">
        <v>89784</v>
      </c>
      <c r="K105">
        <v>32502</v>
      </c>
      <c r="L105">
        <v>-18833</v>
      </c>
      <c r="M105">
        <v>-8665</v>
      </c>
      <c r="N105">
        <v>2.504</v>
      </c>
      <c r="O105">
        <v>0.25219999999999998</v>
      </c>
      <c r="P105">
        <v>24.585699999999999</v>
      </c>
      <c r="Q105">
        <v>12.805099999999999</v>
      </c>
      <c r="R105">
        <v>19.9893</v>
      </c>
      <c r="S105">
        <v>25.421199999999999</v>
      </c>
      <c r="T105">
        <v>0.31519999999999998</v>
      </c>
      <c r="U105">
        <v>35.219200000000001</v>
      </c>
      <c r="V105">
        <v>128000</v>
      </c>
      <c r="W105">
        <v>1.6222000000000001</v>
      </c>
      <c r="X105">
        <f t="shared" si="1"/>
        <v>0.11540289534868785</v>
      </c>
    </row>
    <row r="106" spans="1:24" x14ac:dyDescent="0.3">
      <c r="A106">
        <v>2015</v>
      </c>
      <c r="B106" s="1" t="s">
        <v>35</v>
      </c>
      <c r="C106" s="1" t="s">
        <v>24</v>
      </c>
      <c r="D106">
        <v>443.17</v>
      </c>
      <c r="E106">
        <v>93580</v>
      </c>
      <c r="F106">
        <v>60542</v>
      </c>
      <c r="G106">
        <v>12193</v>
      </c>
      <c r="H106">
        <v>1.48</v>
      </c>
      <c r="I106">
        <v>31616</v>
      </c>
      <c r="J106">
        <v>80083</v>
      </c>
      <c r="K106">
        <v>29668</v>
      </c>
      <c r="L106">
        <v>-23001</v>
      </c>
      <c r="M106">
        <v>-9668</v>
      </c>
      <c r="N106">
        <v>2.4733999999999998</v>
      </c>
      <c r="O106">
        <v>0.44069999999999998</v>
      </c>
      <c r="P106">
        <v>15.2255</v>
      </c>
      <c r="Q106">
        <v>6.9885000000000002</v>
      </c>
      <c r="R106">
        <v>11.3012</v>
      </c>
      <c r="S106">
        <v>13.029500000000001</v>
      </c>
      <c r="T106">
        <v>-0.34250000000000003</v>
      </c>
      <c r="U106">
        <v>20.911000000000001</v>
      </c>
      <c r="V106">
        <v>118000</v>
      </c>
      <c r="W106">
        <v>0.1186</v>
      </c>
      <c r="X106">
        <f t="shared" si="1"/>
        <v>7.7700874091647179E-2</v>
      </c>
    </row>
    <row r="107" spans="1:24" x14ac:dyDescent="0.3">
      <c r="A107">
        <v>2016</v>
      </c>
      <c r="B107" s="1" t="s">
        <v>35</v>
      </c>
      <c r="C107" s="1" t="s">
        <v>24</v>
      </c>
      <c r="D107">
        <v>483.16</v>
      </c>
      <c r="E107">
        <v>91154</v>
      </c>
      <c r="F107">
        <v>58374</v>
      </c>
      <c r="G107">
        <v>20539</v>
      </c>
      <c r="H107">
        <v>2.56</v>
      </c>
      <c r="I107">
        <v>33330</v>
      </c>
      <c r="J107">
        <v>71997</v>
      </c>
      <c r="K107">
        <v>33325</v>
      </c>
      <c r="L107">
        <v>-23950</v>
      </c>
      <c r="M107">
        <v>-8393</v>
      </c>
      <c r="N107">
        <v>2.3529</v>
      </c>
      <c r="O107">
        <v>0.74250000000000005</v>
      </c>
      <c r="P107">
        <v>28.5276</v>
      </c>
      <c r="Q107">
        <v>10.616199999999999</v>
      </c>
      <c r="R107">
        <v>18.248100000000001</v>
      </c>
      <c r="S107">
        <v>22.5322</v>
      </c>
      <c r="T107">
        <v>0.24349999999999999</v>
      </c>
      <c r="U107">
        <v>40.758499999999998</v>
      </c>
      <c r="V107">
        <v>114000</v>
      </c>
      <c r="W107">
        <v>1.2616000000000001</v>
      </c>
      <c r="X107">
        <f t="shared" si="1"/>
        <v>-2.592434280829237E-2</v>
      </c>
    </row>
    <row r="108" spans="1:24" x14ac:dyDescent="0.3">
      <c r="A108">
        <v>2017</v>
      </c>
      <c r="B108" s="1" t="s">
        <v>35</v>
      </c>
      <c r="C108" s="1" t="s">
        <v>24</v>
      </c>
      <c r="D108">
        <v>659.91</v>
      </c>
      <c r="E108">
        <v>96571</v>
      </c>
      <c r="F108">
        <v>62310</v>
      </c>
      <c r="G108">
        <v>25489</v>
      </c>
      <c r="H108">
        <v>3.25</v>
      </c>
      <c r="I108">
        <v>37803</v>
      </c>
      <c r="J108">
        <v>87711</v>
      </c>
      <c r="K108">
        <v>39507</v>
      </c>
      <c r="L108">
        <v>-46781</v>
      </c>
      <c r="M108">
        <v>8408</v>
      </c>
      <c r="N108">
        <v>2.9186000000000001</v>
      </c>
      <c r="O108">
        <v>0.98270000000000002</v>
      </c>
      <c r="P108">
        <v>29.060199999999998</v>
      </c>
      <c r="Q108">
        <v>10.1829</v>
      </c>
      <c r="R108">
        <v>15.5626</v>
      </c>
      <c r="S108">
        <v>26.394100000000002</v>
      </c>
      <c r="T108">
        <v>0.88870000000000005</v>
      </c>
      <c r="U108">
        <v>59.998100000000001</v>
      </c>
      <c r="V108">
        <v>124000</v>
      </c>
      <c r="W108">
        <v>2.1301000000000001</v>
      </c>
      <c r="X108">
        <f t="shared" si="1"/>
        <v>5.9426903920837264E-2</v>
      </c>
    </row>
    <row r="109" spans="1:24" x14ac:dyDescent="0.3">
      <c r="A109">
        <v>2018</v>
      </c>
      <c r="B109" s="1" t="s">
        <v>35</v>
      </c>
      <c r="C109" s="1" t="s">
        <v>24</v>
      </c>
      <c r="D109">
        <v>779.67</v>
      </c>
      <c r="E109">
        <v>110360</v>
      </c>
      <c r="F109">
        <v>72007</v>
      </c>
      <c r="G109">
        <v>16571</v>
      </c>
      <c r="H109">
        <v>2.13</v>
      </c>
      <c r="I109">
        <v>45319</v>
      </c>
      <c r="J109">
        <v>82718</v>
      </c>
      <c r="K109">
        <v>43884</v>
      </c>
      <c r="L109">
        <v>-6061</v>
      </c>
      <c r="M109">
        <v>-33590</v>
      </c>
      <c r="N109">
        <v>2.9007999999999998</v>
      </c>
      <c r="O109">
        <v>0.92169999999999996</v>
      </c>
      <c r="P109">
        <v>20.033100000000001</v>
      </c>
      <c r="Q109">
        <v>6.4017999999999997</v>
      </c>
      <c r="R109">
        <v>10.6937</v>
      </c>
      <c r="S109">
        <v>15.0154</v>
      </c>
      <c r="T109">
        <v>0.13170000000000001</v>
      </c>
      <c r="U109">
        <v>42.509399999999999</v>
      </c>
      <c r="V109">
        <v>131000</v>
      </c>
      <c r="W109">
        <v>2.4426000000000001</v>
      </c>
      <c r="X109">
        <f t="shared" si="1"/>
        <v>0.14278613662486667</v>
      </c>
    </row>
    <row r="110" spans="1:24" x14ac:dyDescent="0.3">
      <c r="A110">
        <v>2019</v>
      </c>
      <c r="B110" s="1" t="s">
        <v>35</v>
      </c>
      <c r="C110" s="1" t="s">
        <v>24</v>
      </c>
      <c r="D110">
        <v>1203.06</v>
      </c>
      <c r="E110">
        <v>125843</v>
      </c>
      <c r="F110">
        <v>82933</v>
      </c>
      <c r="G110">
        <v>39240</v>
      </c>
      <c r="H110">
        <v>5.0599999999999996</v>
      </c>
      <c r="I110">
        <v>54641</v>
      </c>
      <c r="J110">
        <v>102330</v>
      </c>
      <c r="K110">
        <v>52185</v>
      </c>
      <c r="L110">
        <v>-15773</v>
      </c>
      <c r="M110">
        <v>-36887</v>
      </c>
      <c r="N110">
        <v>2.5287999999999999</v>
      </c>
      <c r="O110">
        <v>0.70530000000000004</v>
      </c>
      <c r="P110">
        <v>38.346499999999999</v>
      </c>
      <c r="Q110">
        <v>13.6937</v>
      </c>
      <c r="R110">
        <v>23.22</v>
      </c>
      <c r="S110">
        <v>31.181699999999999</v>
      </c>
      <c r="T110">
        <v>0.79679999999999995</v>
      </c>
      <c r="U110">
        <v>74.6661</v>
      </c>
      <c r="V110">
        <v>144000</v>
      </c>
      <c r="W110">
        <v>1.8122</v>
      </c>
      <c r="X110">
        <f t="shared" si="1"/>
        <v>0.14029539688292861</v>
      </c>
    </row>
    <row r="111" spans="1:24" x14ac:dyDescent="0.3">
      <c r="A111">
        <v>2020</v>
      </c>
      <c r="B111" s="1" t="s">
        <v>35</v>
      </c>
      <c r="C111" s="1" t="s">
        <v>24</v>
      </c>
      <c r="D111">
        <v>1681.61</v>
      </c>
      <c r="E111">
        <v>143015</v>
      </c>
      <c r="F111">
        <v>96937</v>
      </c>
      <c r="G111">
        <v>44281</v>
      </c>
      <c r="H111">
        <v>5.76</v>
      </c>
      <c r="I111">
        <v>65755</v>
      </c>
      <c r="J111">
        <v>118304</v>
      </c>
      <c r="K111">
        <v>60675</v>
      </c>
      <c r="L111">
        <v>-12223</v>
      </c>
      <c r="M111">
        <v>-46031</v>
      </c>
      <c r="N111">
        <v>2.5158</v>
      </c>
      <c r="O111">
        <v>0.5353</v>
      </c>
      <c r="P111">
        <v>37.4298</v>
      </c>
      <c r="Q111">
        <v>14.696099999999999</v>
      </c>
      <c r="R111">
        <v>24.8935</v>
      </c>
      <c r="S111">
        <v>30.962499999999999</v>
      </c>
      <c r="T111">
        <v>0.9526</v>
      </c>
      <c r="U111">
        <v>65.200599999999994</v>
      </c>
      <c r="V111">
        <v>163000</v>
      </c>
      <c r="W111">
        <v>1.2336</v>
      </c>
      <c r="X111">
        <f t="shared" si="1"/>
        <v>0.13645574247276368</v>
      </c>
    </row>
    <row r="112" spans="1:24" x14ac:dyDescent="0.3">
      <c r="A112">
        <v>2021</v>
      </c>
      <c r="B112" s="1" t="s">
        <v>35</v>
      </c>
      <c r="C112" s="1" t="s">
        <v>24</v>
      </c>
      <c r="D112">
        <v>2525.08</v>
      </c>
      <c r="E112">
        <v>168088</v>
      </c>
      <c r="F112">
        <v>115856</v>
      </c>
      <c r="G112">
        <v>61271</v>
      </c>
      <c r="H112">
        <v>8.0500000000000007</v>
      </c>
      <c r="I112">
        <v>81602</v>
      </c>
      <c r="J112">
        <v>141988</v>
      </c>
      <c r="K112">
        <v>76740</v>
      </c>
      <c r="L112">
        <v>-27577</v>
      </c>
      <c r="M112">
        <v>-48486</v>
      </c>
      <c r="N112">
        <v>2.08</v>
      </c>
      <c r="O112">
        <v>0.40949999999999998</v>
      </c>
      <c r="P112">
        <v>43.152200000000001</v>
      </c>
      <c r="Q112">
        <v>18.3568</v>
      </c>
      <c r="R112">
        <v>31.901700000000002</v>
      </c>
      <c r="S112">
        <v>36.451700000000002</v>
      </c>
      <c r="T112">
        <v>1.4886999999999999</v>
      </c>
      <c r="U112">
        <v>72.529799999999994</v>
      </c>
      <c r="V112">
        <v>181000</v>
      </c>
      <c r="W112">
        <v>4.6978999999999997</v>
      </c>
      <c r="X112">
        <f t="shared" si="1"/>
        <v>0.175317274411775</v>
      </c>
    </row>
    <row r="113" spans="1:24" x14ac:dyDescent="0.3">
      <c r="A113">
        <v>2022</v>
      </c>
      <c r="B113" s="1" t="s">
        <v>35</v>
      </c>
      <c r="C113" s="1" t="s">
        <v>24</v>
      </c>
      <c r="D113">
        <v>1787.73</v>
      </c>
      <c r="E113">
        <v>198270</v>
      </c>
      <c r="F113">
        <v>135620</v>
      </c>
      <c r="G113">
        <v>72738</v>
      </c>
      <c r="H113">
        <v>9.65</v>
      </c>
      <c r="I113">
        <v>97843</v>
      </c>
      <c r="J113">
        <v>166542</v>
      </c>
      <c r="K113">
        <v>89035</v>
      </c>
      <c r="L113">
        <v>-30311</v>
      </c>
      <c r="M113">
        <v>-58876</v>
      </c>
      <c r="N113">
        <v>1.7846</v>
      </c>
      <c r="O113">
        <v>0.2989</v>
      </c>
      <c r="P113">
        <v>43.6755</v>
      </c>
      <c r="Q113">
        <v>19.937000000000001</v>
      </c>
      <c r="R113">
        <v>34.057499999999997</v>
      </c>
      <c r="S113">
        <v>36.686300000000003</v>
      </c>
      <c r="T113">
        <v>1.2643</v>
      </c>
      <c r="U113">
        <v>82.920699999999997</v>
      </c>
      <c r="V113">
        <v>221000</v>
      </c>
      <c r="W113">
        <v>8.0028000000000006</v>
      </c>
      <c r="X113">
        <f t="shared" si="1"/>
        <v>0.17956070629670173</v>
      </c>
    </row>
    <row r="114" spans="1:24" x14ac:dyDescent="0.3">
      <c r="A114">
        <v>2023</v>
      </c>
      <c r="B114" s="1" t="s">
        <v>35</v>
      </c>
      <c r="C114" s="1" t="s">
        <v>24</v>
      </c>
      <c r="D114">
        <v>2451.23</v>
      </c>
      <c r="E114">
        <v>211915</v>
      </c>
      <c r="F114">
        <v>146052</v>
      </c>
      <c r="G114">
        <v>72361</v>
      </c>
      <c r="H114">
        <v>9.68</v>
      </c>
      <c r="I114">
        <v>102384</v>
      </c>
      <c r="J114">
        <v>206223</v>
      </c>
      <c r="K114">
        <v>87582</v>
      </c>
      <c r="L114">
        <v>-22680</v>
      </c>
      <c r="M114">
        <v>-43935</v>
      </c>
      <c r="N114">
        <v>1.7692000000000001</v>
      </c>
      <c r="O114">
        <v>0.2291</v>
      </c>
      <c r="P114">
        <v>35.088700000000003</v>
      </c>
      <c r="Q114">
        <v>17.564399999999999</v>
      </c>
      <c r="R114">
        <v>29.152799999999999</v>
      </c>
      <c r="S114">
        <v>34.1462</v>
      </c>
      <c r="T114">
        <v>-0.68079999999999996</v>
      </c>
      <c r="U114">
        <v>56.106400000000001</v>
      </c>
      <c r="V114">
        <v>221000</v>
      </c>
      <c r="W114">
        <v>3.7</v>
      </c>
      <c r="X114">
        <f t="shared" si="1"/>
        <v>6.8820295556564284E-2</v>
      </c>
    </row>
    <row r="115" spans="1:24" x14ac:dyDescent="0.3">
      <c r="A115">
        <v>2009</v>
      </c>
      <c r="B115" s="1" t="s">
        <v>36</v>
      </c>
      <c r="C115" s="1" t="s">
        <v>32</v>
      </c>
      <c r="D115">
        <v>10.37</v>
      </c>
      <c r="E115">
        <v>3424.8589999999999</v>
      </c>
      <c r="F115">
        <v>1174.269</v>
      </c>
      <c r="G115">
        <v>-30.041</v>
      </c>
      <c r="H115">
        <v>-1.2500000000000001E-2</v>
      </c>
      <c r="I115">
        <v>114.3228</v>
      </c>
      <c r="J115">
        <v>2394.652</v>
      </c>
      <c r="K115">
        <v>249.36</v>
      </c>
      <c r="L115">
        <v>-209.36699999999999</v>
      </c>
      <c r="M115">
        <v>-349.274</v>
      </c>
      <c r="N115">
        <v>2.7845</v>
      </c>
      <c r="O115">
        <v>1.0699999999999999E-2</v>
      </c>
      <c r="P115">
        <v>-1.2544999999999999</v>
      </c>
      <c r="Q115">
        <v>-0.89659999999999995</v>
      </c>
      <c r="R115">
        <v>-1.2412000000000001</v>
      </c>
      <c r="S115">
        <v>-0.87709999999999999</v>
      </c>
      <c r="T115">
        <v>-7.22E-2</v>
      </c>
      <c r="U115">
        <v>-1.5999000000000001</v>
      </c>
      <c r="V115">
        <v>5420</v>
      </c>
      <c r="W115">
        <v>-0.35549999999999998</v>
      </c>
      <c r="X115" t="str">
        <f t="shared" si="1"/>
        <v/>
      </c>
    </row>
    <row r="116" spans="1:24" x14ac:dyDescent="0.3">
      <c r="A116">
        <v>2010</v>
      </c>
      <c r="B116" s="1" t="s">
        <v>36</v>
      </c>
      <c r="C116" s="1" t="s">
        <v>32</v>
      </c>
      <c r="D116">
        <v>8.9499999999999993</v>
      </c>
      <c r="E116">
        <v>3326.4450000000002</v>
      </c>
      <c r="F116">
        <v>1176.923</v>
      </c>
      <c r="G116">
        <v>-67.986999999999995</v>
      </c>
      <c r="H116">
        <v>-0.03</v>
      </c>
      <c r="I116">
        <v>97.718900000000005</v>
      </c>
      <c r="J116">
        <v>2665.14</v>
      </c>
      <c r="K116">
        <v>487.80700000000002</v>
      </c>
      <c r="L116">
        <v>-519.33299999999997</v>
      </c>
      <c r="M116">
        <v>61.058999999999997</v>
      </c>
      <c r="N116">
        <v>3.1627999999999998</v>
      </c>
      <c r="O116">
        <v>9.1999999999999998E-3</v>
      </c>
      <c r="P116">
        <v>-2.5510000000000002</v>
      </c>
      <c r="Q116">
        <v>-1.8958999999999999</v>
      </c>
      <c r="R116">
        <v>-2.5278</v>
      </c>
      <c r="S116">
        <v>-2.0438000000000001</v>
      </c>
      <c r="T116">
        <v>0.25879999999999997</v>
      </c>
      <c r="U116">
        <v>-3.1261000000000001</v>
      </c>
      <c r="V116">
        <v>5706</v>
      </c>
      <c r="W116">
        <v>1.64</v>
      </c>
      <c r="X116">
        <f t="shared" si="1"/>
        <v>-2.8735197565797531E-2</v>
      </c>
    </row>
    <row r="117" spans="1:24" x14ac:dyDescent="0.3">
      <c r="A117">
        <v>2011</v>
      </c>
      <c r="B117" s="1" t="s">
        <v>36</v>
      </c>
      <c r="C117" s="1" t="s">
        <v>32</v>
      </c>
      <c r="D117">
        <v>8.4600000000000009</v>
      </c>
      <c r="E117">
        <v>3543.3090000000002</v>
      </c>
      <c r="F117">
        <v>1409.09</v>
      </c>
      <c r="G117">
        <v>253.14599999999999</v>
      </c>
      <c r="H117">
        <v>0.1075</v>
      </c>
      <c r="I117">
        <v>442.73610000000002</v>
      </c>
      <c r="J117">
        <v>3181.462</v>
      </c>
      <c r="K117">
        <v>675.79700000000003</v>
      </c>
      <c r="L117">
        <v>-649.678</v>
      </c>
      <c r="M117">
        <v>192.02099999999999</v>
      </c>
      <c r="N117">
        <v>3.4232</v>
      </c>
      <c r="O117">
        <v>7.4000000000000003E-3</v>
      </c>
      <c r="P117">
        <v>7.9569000000000001</v>
      </c>
      <c r="Q117">
        <v>5.6314000000000002</v>
      </c>
      <c r="R117">
        <v>7.8987999999999996</v>
      </c>
      <c r="S117">
        <v>7.1443000000000003</v>
      </c>
      <c r="T117">
        <v>5.8799999999999998E-2</v>
      </c>
      <c r="U117">
        <v>10.034000000000001</v>
      </c>
      <c r="V117">
        <v>6029</v>
      </c>
      <c r="W117">
        <v>3.1568000000000001</v>
      </c>
      <c r="X117">
        <f t="shared" si="1"/>
        <v>6.5193923242380381E-2</v>
      </c>
    </row>
    <row r="118" spans="1:24" x14ac:dyDescent="0.3">
      <c r="A118">
        <v>2012</v>
      </c>
      <c r="B118" s="1" t="s">
        <v>36</v>
      </c>
      <c r="C118" s="1" t="s">
        <v>32</v>
      </c>
      <c r="D118">
        <v>7.66</v>
      </c>
      <c r="E118">
        <v>3997.93</v>
      </c>
      <c r="F118">
        <v>2056.5169999999998</v>
      </c>
      <c r="G118">
        <v>581.09</v>
      </c>
      <c r="H118">
        <v>0.23499999999999999</v>
      </c>
      <c r="I118">
        <v>852.50379999999996</v>
      </c>
      <c r="J118">
        <v>4145.7240000000002</v>
      </c>
      <c r="K118">
        <v>909.15599999999995</v>
      </c>
      <c r="L118">
        <v>-1143.364</v>
      </c>
      <c r="M118">
        <v>236.72300000000001</v>
      </c>
      <c r="N118">
        <v>4.1994999999999996</v>
      </c>
      <c r="O118">
        <v>5.1999999999999998E-3</v>
      </c>
      <c r="P118">
        <v>14.0166</v>
      </c>
      <c r="Q118">
        <v>10.464600000000001</v>
      </c>
      <c r="R118">
        <v>13.9445</v>
      </c>
      <c r="S118">
        <v>14.534800000000001</v>
      </c>
      <c r="T118">
        <v>6.7100000000000007E-2</v>
      </c>
      <c r="U118">
        <v>18.281600000000001</v>
      </c>
      <c r="V118">
        <v>7133</v>
      </c>
      <c r="W118">
        <v>2.0693000000000001</v>
      </c>
      <c r="X118">
        <f t="shared" si="1"/>
        <v>0.12830407960468579</v>
      </c>
    </row>
    <row r="119" spans="1:24" x14ac:dyDescent="0.3">
      <c r="A119">
        <v>2013</v>
      </c>
      <c r="B119" s="1" t="s">
        <v>36</v>
      </c>
      <c r="C119" s="1" t="s">
        <v>32</v>
      </c>
      <c r="D119">
        <v>9.11</v>
      </c>
      <c r="E119">
        <v>4280.1589999999997</v>
      </c>
      <c r="F119">
        <v>2226.3429999999998</v>
      </c>
      <c r="G119">
        <v>562.53599999999994</v>
      </c>
      <c r="H119">
        <v>0.22500000000000001</v>
      </c>
      <c r="I119">
        <v>874.4742</v>
      </c>
      <c r="J119">
        <v>4827.7030000000004</v>
      </c>
      <c r="K119">
        <v>824.17200000000003</v>
      </c>
      <c r="L119">
        <v>-743.99199999999996</v>
      </c>
      <c r="M119">
        <v>-15.27</v>
      </c>
      <c r="N119">
        <v>4.8916000000000004</v>
      </c>
      <c r="O119">
        <v>3.8999999999999998E-3</v>
      </c>
      <c r="P119">
        <v>11.6523</v>
      </c>
      <c r="Q119">
        <v>8.7728000000000002</v>
      </c>
      <c r="R119">
        <v>11.6066</v>
      </c>
      <c r="S119">
        <v>13.142899999999999</v>
      </c>
      <c r="T119">
        <v>-5.6099999999999997E-2</v>
      </c>
      <c r="U119">
        <v>14.519500000000001</v>
      </c>
      <c r="V119">
        <v>7974</v>
      </c>
      <c r="W119">
        <v>1.4648000000000001</v>
      </c>
      <c r="X119">
        <f t="shared" si="1"/>
        <v>7.0593782282331069E-2</v>
      </c>
    </row>
    <row r="120" spans="1:24" x14ac:dyDescent="0.3">
      <c r="A120">
        <v>2014</v>
      </c>
      <c r="B120" s="1" t="s">
        <v>36</v>
      </c>
      <c r="C120" s="1" t="s">
        <v>32</v>
      </c>
      <c r="D120">
        <v>10.9</v>
      </c>
      <c r="E120">
        <v>4130</v>
      </c>
      <c r="F120">
        <v>2268</v>
      </c>
      <c r="G120">
        <v>440</v>
      </c>
      <c r="H120">
        <v>0.185</v>
      </c>
      <c r="I120">
        <v>740</v>
      </c>
      <c r="J120">
        <v>4456.3980000000001</v>
      </c>
      <c r="K120">
        <v>835</v>
      </c>
      <c r="L120">
        <v>-806</v>
      </c>
      <c r="M120">
        <v>390</v>
      </c>
      <c r="N120">
        <v>5.9489999999999998</v>
      </c>
      <c r="O120">
        <v>0.30830000000000002</v>
      </c>
      <c r="P120">
        <v>9.8734000000000002</v>
      </c>
      <c r="Q120">
        <v>6.0682</v>
      </c>
      <c r="R120">
        <v>7.5468000000000002</v>
      </c>
      <c r="S120">
        <v>10.6538</v>
      </c>
      <c r="T120">
        <v>-2.2000000000000001E-3</v>
      </c>
      <c r="U120">
        <v>12.5099</v>
      </c>
      <c r="V120">
        <v>8808</v>
      </c>
      <c r="W120">
        <v>1.6222000000000001</v>
      </c>
      <c r="X120">
        <f t="shared" si="1"/>
        <v>-3.5082575203397741E-2</v>
      </c>
    </row>
    <row r="121" spans="1:24" x14ac:dyDescent="0.3">
      <c r="A121">
        <v>2015</v>
      </c>
      <c r="B121" s="1" t="s">
        <v>36</v>
      </c>
      <c r="C121" s="1" t="s">
        <v>32</v>
      </c>
      <c r="D121">
        <v>17.73</v>
      </c>
      <c r="E121">
        <v>4682</v>
      </c>
      <c r="F121">
        <v>2599</v>
      </c>
      <c r="G121">
        <v>631</v>
      </c>
      <c r="H121">
        <v>0.28000000000000003</v>
      </c>
      <c r="I121">
        <v>1007</v>
      </c>
      <c r="J121">
        <v>4418</v>
      </c>
      <c r="K121">
        <v>906</v>
      </c>
      <c r="L121">
        <v>-727</v>
      </c>
      <c r="M121">
        <v>-834</v>
      </c>
      <c r="N121">
        <v>6.3761000000000001</v>
      </c>
      <c r="O121">
        <v>0.31640000000000001</v>
      </c>
      <c r="P121">
        <v>14.282500000000001</v>
      </c>
      <c r="Q121">
        <v>8.7627000000000006</v>
      </c>
      <c r="R121">
        <v>10.849399999999999</v>
      </c>
      <c r="S121">
        <v>13.4772</v>
      </c>
      <c r="T121">
        <v>0.1033</v>
      </c>
      <c r="U121">
        <v>17.6356</v>
      </c>
      <c r="V121">
        <v>9228</v>
      </c>
      <c r="W121">
        <v>0.1186</v>
      </c>
      <c r="X121">
        <f t="shared" si="1"/>
        <v>0.13365617433414043</v>
      </c>
    </row>
    <row r="122" spans="1:24" x14ac:dyDescent="0.3">
      <c r="A122">
        <v>2016</v>
      </c>
      <c r="B122" s="1" t="s">
        <v>36</v>
      </c>
      <c r="C122" s="1" t="s">
        <v>32</v>
      </c>
      <c r="D122">
        <v>57.53</v>
      </c>
      <c r="E122">
        <v>5010</v>
      </c>
      <c r="F122">
        <v>2811</v>
      </c>
      <c r="G122">
        <v>614</v>
      </c>
      <c r="H122">
        <v>0.27</v>
      </c>
      <c r="I122">
        <v>973</v>
      </c>
      <c r="J122">
        <v>4469</v>
      </c>
      <c r="K122">
        <v>1175</v>
      </c>
      <c r="L122">
        <v>-400</v>
      </c>
      <c r="M122">
        <v>-676</v>
      </c>
      <c r="N122">
        <v>2.5746000000000002</v>
      </c>
      <c r="O122">
        <v>0.33789999999999998</v>
      </c>
      <c r="P122">
        <v>13.739100000000001</v>
      </c>
      <c r="Q122">
        <v>8.3310999999999993</v>
      </c>
      <c r="R122">
        <v>13.4472</v>
      </c>
      <c r="S122">
        <v>12.2555</v>
      </c>
      <c r="T122">
        <v>0.124</v>
      </c>
      <c r="U122">
        <v>16.662099999999999</v>
      </c>
      <c r="V122">
        <v>9227</v>
      </c>
      <c r="W122">
        <v>1.2616000000000001</v>
      </c>
      <c r="X122">
        <f t="shared" si="1"/>
        <v>7.0055531824006839E-2</v>
      </c>
    </row>
    <row r="123" spans="1:24" x14ac:dyDescent="0.3">
      <c r="A123">
        <v>2017</v>
      </c>
      <c r="B123" s="1" t="s">
        <v>36</v>
      </c>
      <c r="C123" s="1" t="s">
        <v>32</v>
      </c>
      <c r="D123">
        <v>117.26</v>
      </c>
      <c r="E123">
        <v>6910</v>
      </c>
      <c r="F123">
        <v>4063</v>
      </c>
      <c r="G123">
        <v>1666</v>
      </c>
      <c r="H123">
        <v>0.64249999999999996</v>
      </c>
      <c r="I123">
        <v>2121</v>
      </c>
      <c r="J123">
        <v>5762</v>
      </c>
      <c r="K123">
        <v>1672</v>
      </c>
      <c r="L123">
        <v>-793</v>
      </c>
      <c r="M123">
        <v>291</v>
      </c>
      <c r="N123">
        <v>4.774</v>
      </c>
      <c r="O123">
        <v>0.48770000000000002</v>
      </c>
      <c r="P123">
        <v>28.913599999999999</v>
      </c>
      <c r="Q123">
        <v>16.929200000000002</v>
      </c>
      <c r="R123">
        <v>21.424900000000001</v>
      </c>
      <c r="S123">
        <v>24.11</v>
      </c>
      <c r="T123">
        <v>9.7500000000000003E-2</v>
      </c>
      <c r="U123">
        <v>33.055599999999998</v>
      </c>
      <c r="V123">
        <v>10299</v>
      </c>
      <c r="W123">
        <v>2.1301000000000001</v>
      </c>
      <c r="X123">
        <f t="shared" si="1"/>
        <v>0.37924151696606784</v>
      </c>
    </row>
    <row r="124" spans="1:24" x14ac:dyDescent="0.3">
      <c r="A124">
        <v>2018</v>
      </c>
      <c r="B124" s="1" t="s">
        <v>36</v>
      </c>
      <c r="C124" s="1" t="s">
        <v>32</v>
      </c>
      <c r="D124">
        <v>81.44</v>
      </c>
      <c r="E124">
        <v>9714</v>
      </c>
      <c r="F124">
        <v>5822</v>
      </c>
      <c r="G124">
        <v>3047</v>
      </c>
      <c r="H124">
        <v>1.2050000000000001</v>
      </c>
      <c r="I124">
        <v>3409</v>
      </c>
      <c r="J124">
        <v>7471</v>
      </c>
      <c r="K124">
        <v>3502</v>
      </c>
      <c r="L124">
        <v>1278</v>
      </c>
      <c r="M124">
        <v>-2544</v>
      </c>
      <c r="N124">
        <v>8.0268999999999995</v>
      </c>
      <c r="O124">
        <v>0.26769999999999999</v>
      </c>
      <c r="P124">
        <v>40.784399999999998</v>
      </c>
      <c r="Q124">
        <v>27.106100000000001</v>
      </c>
      <c r="R124">
        <v>32.222900000000003</v>
      </c>
      <c r="S124">
        <v>31.367100000000001</v>
      </c>
      <c r="T124">
        <v>0.57250000000000001</v>
      </c>
      <c r="U124">
        <v>44.802199999999999</v>
      </c>
      <c r="V124">
        <v>11528</v>
      </c>
      <c r="W124">
        <v>2.4426000000000001</v>
      </c>
      <c r="X124">
        <f t="shared" si="1"/>
        <v>0.4057887120115774</v>
      </c>
    </row>
    <row r="125" spans="1:24" x14ac:dyDescent="0.3">
      <c r="A125">
        <v>2019</v>
      </c>
      <c r="B125" s="1" t="s">
        <v>36</v>
      </c>
      <c r="C125" s="1" t="s">
        <v>32</v>
      </c>
      <c r="D125">
        <v>144</v>
      </c>
      <c r="E125">
        <v>11716</v>
      </c>
      <c r="F125">
        <v>7171</v>
      </c>
      <c r="G125">
        <v>4141</v>
      </c>
      <c r="H125">
        <v>1.6575</v>
      </c>
      <c r="I125">
        <v>4066</v>
      </c>
      <c r="J125">
        <v>9342</v>
      </c>
      <c r="K125">
        <v>3743</v>
      </c>
      <c r="L125">
        <v>-4097</v>
      </c>
      <c r="M125">
        <v>-2866</v>
      </c>
      <c r="N125">
        <v>7.9436</v>
      </c>
      <c r="O125">
        <v>0.21279999999999999</v>
      </c>
      <c r="P125">
        <v>44.326700000000002</v>
      </c>
      <c r="Q125">
        <v>31.1541</v>
      </c>
      <c r="R125">
        <v>36.548999999999999</v>
      </c>
      <c r="S125">
        <v>35.344799999999999</v>
      </c>
      <c r="T125">
        <v>0.1057</v>
      </c>
      <c r="U125">
        <v>47.712899999999998</v>
      </c>
      <c r="V125">
        <v>13277</v>
      </c>
      <c r="W125">
        <v>1.8122</v>
      </c>
      <c r="X125">
        <f t="shared" si="1"/>
        <v>0.20609429689108502</v>
      </c>
    </row>
    <row r="126" spans="1:24" x14ac:dyDescent="0.3">
      <c r="A126">
        <v>2020</v>
      </c>
      <c r="B126" s="1" t="s">
        <v>36</v>
      </c>
      <c r="C126" s="1" t="s">
        <v>32</v>
      </c>
      <c r="D126">
        <v>323.24</v>
      </c>
      <c r="E126">
        <v>10918</v>
      </c>
      <c r="F126">
        <v>6768</v>
      </c>
      <c r="G126">
        <v>2796</v>
      </c>
      <c r="H126">
        <v>1.1299999999999999</v>
      </c>
      <c r="I126">
        <v>3227</v>
      </c>
      <c r="J126">
        <v>12204</v>
      </c>
      <c r="K126">
        <v>4761</v>
      </c>
      <c r="L126">
        <v>6145</v>
      </c>
      <c r="M126">
        <v>-792</v>
      </c>
      <c r="N126">
        <v>7.6738</v>
      </c>
      <c r="O126">
        <v>0.16309999999999999</v>
      </c>
      <c r="P126">
        <v>22.910499999999999</v>
      </c>
      <c r="Q126">
        <v>16.1479</v>
      </c>
      <c r="R126">
        <v>19.697099999999999</v>
      </c>
      <c r="S126">
        <v>25.609100000000002</v>
      </c>
      <c r="T126">
        <v>0.47099999999999997</v>
      </c>
      <c r="U126">
        <v>24.235099999999999</v>
      </c>
      <c r="V126">
        <v>13775</v>
      </c>
      <c r="W126">
        <v>1.2336</v>
      </c>
      <c r="X126">
        <f t="shared" si="1"/>
        <v>-6.8111983612154314E-2</v>
      </c>
    </row>
    <row r="127" spans="1:24" x14ac:dyDescent="0.3">
      <c r="A127">
        <v>2021</v>
      </c>
      <c r="B127" s="1" t="s">
        <v>36</v>
      </c>
      <c r="C127" s="1" t="s">
        <v>32</v>
      </c>
      <c r="D127">
        <v>735.86</v>
      </c>
      <c r="E127">
        <v>16675</v>
      </c>
      <c r="F127">
        <v>10396</v>
      </c>
      <c r="G127">
        <v>4332</v>
      </c>
      <c r="H127">
        <v>1.73</v>
      </c>
      <c r="I127">
        <v>5630</v>
      </c>
      <c r="J127">
        <v>16893</v>
      </c>
      <c r="K127">
        <v>5822</v>
      </c>
      <c r="L127">
        <v>-19675</v>
      </c>
      <c r="M127">
        <v>3804</v>
      </c>
      <c r="N127">
        <v>4.0903999999999998</v>
      </c>
      <c r="O127">
        <v>0.41220000000000001</v>
      </c>
      <c r="P127">
        <v>25.643799999999999</v>
      </c>
      <c r="Q127">
        <v>15.0464</v>
      </c>
      <c r="R127">
        <v>18.9526</v>
      </c>
      <c r="S127">
        <v>25.978999999999999</v>
      </c>
      <c r="T127">
        <v>0.1419</v>
      </c>
      <c r="U127">
        <v>43.480899999999998</v>
      </c>
      <c r="V127">
        <v>18975</v>
      </c>
      <c r="W127">
        <v>4.6978999999999997</v>
      </c>
      <c r="X127">
        <f t="shared" si="1"/>
        <v>0.52729437625938813</v>
      </c>
    </row>
    <row r="128" spans="1:24" x14ac:dyDescent="0.3">
      <c r="A128">
        <v>2022</v>
      </c>
      <c r="B128" s="1" t="s">
        <v>36</v>
      </c>
      <c r="C128" s="1" t="s">
        <v>32</v>
      </c>
      <c r="D128">
        <v>359.5</v>
      </c>
      <c r="E128">
        <v>26914</v>
      </c>
      <c r="F128">
        <v>17475</v>
      </c>
      <c r="G128">
        <v>9752</v>
      </c>
      <c r="H128">
        <v>3.85</v>
      </c>
      <c r="I128">
        <v>11215</v>
      </c>
      <c r="J128">
        <v>26612</v>
      </c>
      <c r="K128">
        <v>9108</v>
      </c>
      <c r="L128">
        <v>-9830</v>
      </c>
      <c r="M128">
        <v>1865</v>
      </c>
      <c r="N128">
        <v>6.6502999999999997</v>
      </c>
      <c r="O128">
        <v>0.4113</v>
      </c>
      <c r="P128">
        <v>36.645099999999999</v>
      </c>
      <c r="Q128">
        <v>22.069800000000001</v>
      </c>
      <c r="R128">
        <v>25.965199999999999</v>
      </c>
      <c r="S128">
        <v>36.233899999999998</v>
      </c>
      <c r="T128">
        <v>1.3378000000000001</v>
      </c>
      <c r="U128">
        <v>48.945999999999998</v>
      </c>
      <c r="V128">
        <v>22473</v>
      </c>
      <c r="W128">
        <v>8.0028000000000006</v>
      </c>
      <c r="X128">
        <f t="shared" si="1"/>
        <v>0.61403298350824587</v>
      </c>
    </row>
    <row r="129" spans="1:24" x14ac:dyDescent="0.3">
      <c r="A129">
        <v>2023</v>
      </c>
      <c r="B129" s="1" t="s">
        <v>36</v>
      </c>
      <c r="C129" s="1" t="s">
        <v>32</v>
      </c>
      <c r="D129">
        <v>1000.35</v>
      </c>
      <c r="E129">
        <v>26974</v>
      </c>
      <c r="F129">
        <v>15356</v>
      </c>
      <c r="G129">
        <v>4368</v>
      </c>
      <c r="H129">
        <v>1.74</v>
      </c>
      <c r="I129">
        <v>5768</v>
      </c>
      <c r="J129">
        <v>22101</v>
      </c>
      <c r="K129">
        <v>5641</v>
      </c>
      <c r="L129">
        <v>7375</v>
      </c>
      <c r="M129">
        <v>-11617</v>
      </c>
      <c r="N129">
        <v>3.5156000000000001</v>
      </c>
      <c r="O129">
        <v>0.49559999999999998</v>
      </c>
      <c r="P129">
        <v>19.7638</v>
      </c>
      <c r="Q129">
        <v>10.6066</v>
      </c>
      <c r="R129">
        <v>13.7341</v>
      </c>
      <c r="S129">
        <v>16.1934</v>
      </c>
      <c r="T129">
        <v>-1.6890000000000001</v>
      </c>
      <c r="U129">
        <v>27.209900000000001</v>
      </c>
      <c r="V129">
        <v>26196</v>
      </c>
      <c r="W129">
        <v>3.7</v>
      </c>
      <c r="X129">
        <f t="shared" si="1"/>
        <v>2.2293230289068887E-3</v>
      </c>
    </row>
    <row r="130" spans="1:24" x14ac:dyDescent="0.3">
      <c r="A130">
        <v>2009</v>
      </c>
      <c r="B130" s="1" t="s">
        <v>37</v>
      </c>
      <c r="C130" s="1" t="s">
        <v>38</v>
      </c>
      <c r="D130">
        <v>18.760000000000002</v>
      </c>
      <c r="E130">
        <v>13399</v>
      </c>
      <c r="F130">
        <v>8397</v>
      </c>
      <c r="G130">
        <v>1220</v>
      </c>
      <c r="H130">
        <v>3.2</v>
      </c>
      <c r="I130">
        <v>4051</v>
      </c>
      <c r="J130">
        <v>10585</v>
      </c>
      <c r="K130">
        <v>3039</v>
      </c>
      <c r="L130">
        <v>-3336</v>
      </c>
      <c r="M130">
        <v>605</v>
      </c>
      <c r="N130">
        <v>0.83030000000000004</v>
      </c>
      <c r="O130">
        <v>1.2062999999999999</v>
      </c>
      <c r="P130">
        <v>11.657999999999999</v>
      </c>
      <c r="Q130">
        <v>2.8734000000000002</v>
      </c>
      <c r="R130">
        <v>5.6623999999999999</v>
      </c>
      <c r="S130">
        <v>9.1052</v>
      </c>
      <c r="T130">
        <v>-2.3807999999999998</v>
      </c>
      <c r="U130">
        <v>11.657999999999999</v>
      </c>
      <c r="V130">
        <v>19425</v>
      </c>
      <c r="W130">
        <v>-0.35549999999999998</v>
      </c>
      <c r="X130" t="str">
        <f t="shared" ref="X130:X162" si="2">IF(B130=B129,(E130-E129)/E129,"")</f>
        <v/>
      </c>
    </row>
    <row r="131" spans="1:24" x14ac:dyDescent="0.3">
      <c r="A131">
        <v>2010</v>
      </c>
      <c r="B131" s="1" t="s">
        <v>37</v>
      </c>
      <c r="C131" s="1" t="s">
        <v>38</v>
      </c>
      <c r="D131">
        <v>16.73</v>
      </c>
      <c r="E131">
        <v>13841</v>
      </c>
      <c r="F131">
        <v>8652</v>
      </c>
      <c r="G131">
        <v>1099</v>
      </c>
      <c r="H131">
        <v>2.82</v>
      </c>
      <c r="I131">
        <v>4213</v>
      </c>
      <c r="J131">
        <v>11534</v>
      </c>
      <c r="K131">
        <v>3206</v>
      </c>
      <c r="L131">
        <v>-3857</v>
      </c>
      <c r="M131">
        <v>415</v>
      </c>
      <c r="N131">
        <v>0.77129999999999999</v>
      </c>
      <c r="O131">
        <v>1.1613</v>
      </c>
      <c r="P131">
        <v>9.6496999999999993</v>
      </c>
      <c r="Q131">
        <v>2.4182999999999999</v>
      </c>
      <c r="R131">
        <v>4.8681000000000001</v>
      </c>
      <c r="S131">
        <v>7.9401999999999999</v>
      </c>
      <c r="T131">
        <v>0.86040000000000005</v>
      </c>
      <c r="U131">
        <v>9.6496999999999993</v>
      </c>
      <c r="V131">
        <v>19424</v>
      </c>
      <c r="W131">
        <v>1.64</v>
      </c>
      <c r="X131">
        <f t="shared" si="2"/>
        <v>3.2987536383312185E-2</v>
      </c>
    </row>
    <row r="132" spans="1:24" x14ac:dyDescent="0.3">
      <c r="A132">
        <v>2011</v>
      </c>
      <c r="B132" s="1" t="s">
        <v>37</v>
      </c>
      <c r="C132" s="1" t="s">
        <v>38</v>
      </c>
      <c r="D132">
        <v>17.14</v>
      </c>
      <c r="E132">
        <v>14956</v>
      </c>
      <c r="F132">
        <v>9623</v>
      </c>
      <c r="G132">
        <v>844</v>
      </c>
      <c r="H132">
        <v>2.1</v>
      </c>
      <c r="I132">
        <v>4157</v>
      </c>
      <c r="J132">
        <v>12353</v>
      </c>
      <c r="K132">
        <v>3739</v>
      </c>
      <c r="L132">
        <v>-3986</v>
      </c>
      <c r="M132">
        <v>469</v>
      </c>
      <c r="N132">
        <v>0.83620000000000005</v>
      </c>
      <c r="O132">
        <v>1.1241000000000001</v>
      </c>
      <c r="P132">
        <v>6.9457000000000004</v>
      </c>
      <c r="Q132">
        <v>1.7245999999999999</v>
      </c>
      <c r="R132">
        <v>3.5573999999999999</v>
      </c>
      <c r="S132">
        <v>5.6432000000000002</v>
      </c>
      <c r="T132">
        <v>0.77659999999999996</v>
      </c>
      <c r="U132">
        <v>6.9457000000000004</v>
      </c>
      <c r="V132">
        <v>19274</v>
      </c>
      <c r="W132">
        <v>3.1568000000000001</v>
      </c>
      <c r="X132">
        <f t="shared" si="2"/>
        <v>8.0557763167401195E-2</v>
      </c>
    </row>
    <row r="133" spans="1:24" x14ac:dyDescent="0.3">
      <c r="A133">
        <v>2012</v>
      </c>
      <c r="B133" s="1" t="s">
        <v>37</v>
      </c>
      <c r="C133" s="1" t="s">
        <v>38</v>
      </c>
      <c r="D133">
        <v>18.100000000000001</v>
      </c>
      <c r="E133">
        <v>15040</v>
      </c>
      <c r="F133">
        <v>10017</v>
      </c>
      <c r="G133">
        <v>816</v>
      </c>
      <c r="H133">
        <v>1.92</v>
      </c>
      <c r="I133">
        <v>3965</v>
      </c>
      <c r="J133">
        <v>13326</v>
      </c>
      <c r="K133">
        <v>4882</v>
      </c>
      <c r="L133">
        <v>-4526</v>
      </c>
      <c r="M133">
        <v>-468</v>
      </c>
      <c r="N133">
        <v>0.81859999999999999</v>
      </c>
      <c r="O133">
        <v>1.0062</v>
      </c>
      <c r="P133">
        <v>6.2283999999999997</v>
      </c>
      <c r="Q133">
        <v>1.5825</v>
      </c>
      <c r="R133">
        <v>3.2117</v>
      </c>
      <c r="S133">
        <v>5.4255000000000004</v>
      </c>
      <c r="T133">
        <v>1.3509</v>
      </c>
      <c r="U133">
        <v>6.2283999999999997</v>
      </c>
      <c r="V133">
        <v>20593</v>
      </c>
      <c r="W133">
        <v>2.0693000000000001</v>
      </c>
      <c r="X133">
        <f t="shared" si="2"/>
        <v>5.6164749933137201E-3</v>
      </c>
    </row>
    <row r="134" spans="1:24" x14ac:dyDescent="0.3">
      <c r="A134">
        <v>2013</v>
      </c>
      <c r="B134" s="1" t="s">
        <v>37</v>
      </c>
      <c r="C134" s="1" t="s">
        <v>38</v>
      </c>
      <c r="D134">
        <v>25.29</v>
      </c>
      <c r="E134">
        <v>15598</v>
      </c>
      <c r="F134">
        <v>9614</v>
      </c>
      <c r="G134">
        <v>814</v>
      </c>
      <c r="H134">
        <v>1.83</v>
      </c>
      <c r="I134">
        <v>3839</v>
      </c>
      <c r="J134">
        <v>14594</v>
      </c>
      <c r="K134">
        <v>3427</v>
      </c>
      <c r="L134">
        <v>-5107</v>
      </c>
      <c r="M134">
        <v>1575</v>
      </c>
      <c r="N134">
        <v>0.79769999999999996</v>
      </c>
      <c r="O134">
        <v>1.0126999999999999</v>
      </c>
      <c r="P134">
        <v>5.6736000000000004</v>
      </c>
      <c r="Q134">
        <v>1.4891000000000001</v>
      </c>
      <c r="R134">
        <v>3.0316999999999998</v>
      </c>
      <c r="S134">
        <v>5.2186000000000003</v>
      </c>
      <c r="T134">
        <v>-4.6071</v>
      </c>
      <c r="U134">
        <v>5.6736000000000004</v>
      </c>
      <c r="V134">
        <v>21166</v>
      </c>
      <c r="W134">
        <v>1.4648000000000001</v>
      </c>
      <c r="X134">
        <f t="shared" si="2"/>
        <v>3.7101063829787236E-2</v>
      </c>
    </row>
    <row r="135" spans="1:24" x14ac:dyDescent="0.3">
      <c r="A135">
        <v>2014</v>
      </c>
      <c r="B135" s="1" t="s">
        <v>37</v>
      </c>
      <c r="C135" s="1" t="s">
        <v>38</v>
      </c>
      <c r="D135">
        <v>26.09</v>
      </c>
      <c r="E135">
        <v>17090</v>
      </c>
      <c r="F135">
        <v>10521</v>
      </c>
      <c r="G135">
        <v>1436</v>
      </c>
      <c r="H135">
        <v>3.06</v>
      </c>
      <c r="I135">
        <v>4883</v>
      </c>
      <c r="J135">
        <v>16000</v>
      </c>
      <c r="K135">
        <v>3690</v>
      </c>
      <c r="L135">
        <v>-4714</v>
      </c>
      <c r="M135">
        <v>879</v>
      </c>
      <c r="N135">
        <v>1.0791999999999999</v>
      </c>
      <c r="O135">
        <v>0.98019999999999996</v>
      </c>
      <c r="P135">
        <v>9.0625</v>
      </c>
      <c r="Q135">
        <v>2.4116</v>
      </c>
      <c r="R135">
        <v>4.6699000000000002</v>
      </c>
      <c r="S135">
        <v>8.4025999999999996</v>
      </c>
      <c r="T135">
        <v>1.5681</v>
      </c>
      <c r="U135">
        <v>9.0625</v>
      </c>
      <c r="V135">
        <v>22581</v>
      </c>
      <c r="W135">
        <v>1.6222000000000001</v>
      </c>
      <c r="X135">
        <f t="shared" si="2"/>
        <v>9.5653288883190149E-2</v>
      </c>
    </row>
    <row r="136" spans="1:24" x14ac:dyDescent="0.3">
      <c r="A136">
        <v>2015</v>
      </c>
      <c r="B136" s="1" t="s">
        <v>37</v>
      </c>
      <c r="C136" s="1" t="s">
        <v>38</v>
      </c>
      <c r="D136">
        <v>30.73</v>
      </c>
      <c r="E136">
        <v>16833</v>
      </c>
      <c r="F136">
        <v>11071</v>
      </c>
      <c r="G136">
        <v>874</v>
      </c>
      <c r="H136">
        <v>1.79</v>
      </c>
      <c r="I136">
        <v>4120</v>
      </c>
      <c r="J136">
        <v>16828</v>
      </c>
      <c r="K136">
        <v>3780</v>
      </c>
      <c r="L136">
        <v>-5211</v>
      </c>
      <c r="M136">
        <v>1403</v>
      </c>
      <c r="N136">
        <v>0.91359999999999997</v>
      </c>
      <c r="O136">
        <v>1.0164</v>
      </c>
      <c r="P136">
        <v>5.2769000000000004</v>
      </c>
      <c r="Q136">
        <v>1.4043000000000001</v>
      </c>
      <c r="R136">
        <v>2.7111999999999998</v>
      </c>
      <c r="S136">
        <v>5.1921999999999997</v>
      </c>
      <c r="T136">
        <v>-0.42849999999999999</v>
      </c>
      <c r="U136">
        <v>5.2769000000000004</v>
      </c>
      <c r="V136">
        <v>23000</v>
      </c>
      <c r="W136">
        <v>0.1186</v>
      </c>
      <c r="X136">
        <f t="shared" si="2"/>
        <v>-1.5038033937975424E-2</v>
      </c>
    </row>
    <row r="137" spans="1:24" x14ac:dyDescent="0.3">
      <c r="A137">
        <v>2016</v>
      </c>
      <c r="B137" s="1" t="s">
        <v>37</v>
      </c>
      <c r="C137" s="1" t="s">
        <v>38</v>
      </c>
      <c r="D137">
        <v>23.06</v>
      </c>
      <c r="E137">
        <v>17666</v>
      </c>
      <c r="F137">
        <v>12286</v>
      </c>
      <c r="G137">
        <v>1393</v>
      </c>
      <c r="H137">
        <v>2.78</v>
      </c>
      <c r="I137">
        <v>4835</v>
      </c>
      <c r="J137">
        <v>18192</v>
      </c>
      <c r="K137">
        <v>4409</v>
      </c>
      <c r="L137">
        <v>-5753</v>
      </c>
      <c r="M137">
        <v>1171</v>
      </c>
      <c r="N137">
        <v>0.81489999999999996</v>
      </c>
      <c r="O137">
        <v>1.0134000000000001</v>
      </c>
      <c r="P137">
        <v>7.7342000000000004</v>
      </c>
      <c r="Q137">
        <v>2.0510999999999999</v>
      </c>
      <c r="R137">
        <v>4.0887000000000002</v>
      </c>
      <c r="S137">
        <v>7.8852000000000002</v>
      </c>
      <c r="T137">
        <v>0.2656</v>
      </c>
      <c r="U137">
        <v>7.7342000000000004</v>
      </c>
      <c r="V137">
        <v>24000</v>
      </c>
      <c r="W137">
        <v>1.2616000000000001</v>
      </c>
      <c r="X137">
        <f t="shared" si="2"/>
        <v>4.9486128438186894E-2</v>
      </c>
    </row>
    <row r="138" spans="1:24" x14ac:dyDescent="0.3">
      <c r="A138">
        <v>2017</v>
      </c>
      <c r="B138" s="1" t="s">
        <v>37</v>
      </c>
      <c r="C138" s="1" t="s">
        <v>38</v>
      </c>
      <c r="D138">
        <v>12.32</v>
      </c>
      <c r="E138">
        <v>17135</v>
      </c>
      <c r="F138">
        <v>12080</v>
      </c>
      <c r="G138">
        <v>1646</v>
      </c>
      <c r="H138">
        <v>3.21</v>
      </c>
      <c r="I138">
        <v>5759</v>
      </c>
      <c r="J138">
        <v>19472</v>
      </c>
      <c r="K138">
        <v>5977</v>
      </c>
      <c r="L138">
        <v>-5650</v>
      </c>
      <c r="M138">
        <v>-55</v>
      </c>
      <c r="N138">
        <v>0.88100000000000001</v>
      </c>
      <c r="O138">
        <v>0.98240000000000005</v>
      </c>
      <c r="P138">
        <v>8.5251000000000001</v>
      </c>
      <c r="Q138">
        <v>2.4407000000000001</v>
      </c>
      <c r="R138">
        <v>4.4593999999999996</v>
      </c>
      <c r="S138">
        <v>9.6060999999999996</v>
      </c>
      <c r="T138">
        <v>3.2498</v>
      </c>
      <c r="U138">
        <v>8.5251000000000001</v>
      </c>
      <c r="V138">
        <v>23000</v>
      </c>
      <c r="W138">
        <v>2.1301000000000001</v>
      </c>
      <c r="X138">
        <f t="shared" si="2"/>
        <v>-3.0057738027850108E-2</v>
      </c>
    </row>
    <row r="139" spans="1:24" x14ac:dyDescent="0.3">
      <c r="A139">
        <v>2018</v>
      </c>
      <c r="B139" s="1" t="s">
        <v>37</v>
      </c>
      <c r="C139" s="1" t="s">
        <v>38</v>
      </c>
      <c r="D139">
        <v>5.75</v>
      </c>
      <c r="E139">
        <v>16759</v>
      </c>
      <c r="F139">
        <v>12260</v>
      </c>
      <c r="G139">
        <v>-6851</v>
      </c>
      <c r="H139">
        <v>-13.25</v>
      </c>
      <c r="I139">
        <v>-6664</v>
      </c>
      <c r="J139">
        <v>12903</v>
      </c>
      <c r="K139">
        <v>4752</v>
      </c>
      <c r="L139">
        <v>-6564</v>
      </c>
      <c r="M139">
        <v>3031</v>
      </c>
      <c r="N139">
        <v>0.2205</v>
      </c>
      <c r="O139">
        <v>1.7045999999999999</v>
      </c>
      <c r="P139">
        <v>-52.987699999999997</v>
      </c>
      <c r="Q139">
        <v>-8.8797999999999995</v>
      </c>
      <c r="R139">
        <v>-52.987699999999997</v>
      </c>
      <c r="S139">
        <v>-40.8795</v>
      </c>
      <c r="T139">
        <v>-4.0631000000000004</v>
      </c>
      <c r="U139">
        <v>-52.987699999999997</v>
      </c>
      <c r="V139">
        <v>24000</v>
      </c>
      <c r="W139">
        <v>2.4426000000000001</v>
      </c>
      <c r="X139">
        <f t="shared" si="2"/>
        <v>-2.1943390720747007E-2</v>
      </c>
    </row>
    <row r="140" spans="1:24" x14ac:dyDescent="0.3">
      <c r="A140">
        <v>2019</v>
      </c>
      <c r="B140" s="1" t="s">
        <v>37</v>
      </c>
      <c r="C140" s="1" t="s">
        <v>38</v>
      </c>
      <c r="D140">
        <v>24.73</v>
      </c>
      <c r="E140">
        <v>17129</v>
      </c>
      <c r="F140">
        <v>13300</v>
      </c>
      <c r="G140">
        <v>-7656</v>
      </c>
      <c r="H140">
        <v>-14.5</v>
      </c>
      <c r="I140">
        <v>-6860</v>
      </c>
      <c r="J140">
        <v>5388</v>
      </c>
      <c r="K140">
        <v>4816</v>
      </c>
      <c r="L140">
        <v>-6378</v>
      </c>
      <c r="M140">
        <v>1464</v>
      </c>
      <c r="N140">
        <v>1.3321000000000001</v>
      </c>
      <c r="O140">
        <v>0</v>
      </c>
      <c r="P140">
        <v>-141.83369999999999</v>
      </c>
      <c r="Q140">
        <v>-8.9699000000000009</v>
      </c>
      <c r="R140">
        <v>-141.83369999999999</v>
      </c>
      <c r="S140">
        <v>-44.696100000000001</v>
      </c>
      <c r="T140">
        <v>0.57289999999999996</v>
      </c>
      <c r="U140">
        <v>-141.83369999999999</v>
      </c>
      <c r="V140">
        <v>23000</v>
      </c>
      <c r="W140">
        <v>1.8122</v>
      </c>
      <c r="X140">
        <f t="shared" si="2"/>
        <v>2.2077689599618117E-2</v>
      </c>
    </row>
    <row r="141" spans="1:24" x14ac:dyDescent="0.3">
      <c r="A141">
        <v>2020</v>
      </c>
      <c r="B141" s="1" t="s">
        <v>37</v>
      </c>
      <c r="C141" s="1" t="s">
        <v>38</v>
      </c>
      <c r="D141">
        <v>24.1</v>
      </c>
      <c r="E141">
        <v>18469</v>
      </c>
      <c r="F141">
        <v>14571</v>
      </c>
      <c r="G141">
        <v>-1318</v>
      </c>
      <c r="H141">
        <v>-1.05</v>
      </c>
      <c r="I141">
        <v>5223</v>
      </c>
      <c r="J141">
        <v>21253</v>
      </c>
      <c r="K141">
        <v>-19130</v>
      </c>
      <c r="L141">
        <v>-7748</v>
      </c>
      <c r="M141">
        <v>25928</v>
      </c>
      <c r="N141">
        <v>0.70699999999999996</v>
      </c>
      <c r="O141">
        <v>1.9227000000000001</v>
      </c>
      <c r="P141">
        <v>-6.1356000000000002</v>
      </c>
      <c r="Q141">
        <v>-1.3326</v>
      </c>
      <c r="R141">
        <v>-2.2275</v>
      </c>
      <c r="S141">
        <v>-7.1363000000000003</v>
      </c>
      <c r="T141">
        <v>-18.501300000000001</v>
      </c>
      <c r="U141">
        <v>-6.1356000000000002</v>
      </c>
      <c r="V141">
        <v>24000</v>
      </c>
      <c r="W141">
        <v>1.2336</v>
      </c>
      <c r="X141">
        <f t="shared" si="2"/>
        <v>7.8229902504524496E-2</v>
      </c>
    </row>
    <row r="142" spans="1:24" x14ac:dyDescent="0.3">
      <c r="A142">
        <v>2021</v>
      </c>
      <c r="B142" s="1" t="s">
        <v>37</v>
      </c>
      <c r="C142" s="1" t="s">
        <v>38</v>
      </c>
      <c r="D142">
        <v>32.200000000000003</v>
      </c>
      <c r="E142">
        <v>20642</v>
      </c>
      <c r="F142">
        <v>16261</v>
      </c>
      <c r="G142">
        <v>-102</v>
      </c>
      <c r="H142">
        <v>-0.05</v>
      </c>
      <c r="I142">
        <v>5286</v>
      </c>
      <c r="J142">
        <v>21223</v>
      </c>
      <c r="K142">
        <v>2262</v>
      </c>
      <c r="L142">
        <v>-6905</v>
      </c>
      <c r="M142">
        <v>4323</v>
      </c>
      <c r="N142">
        <v>0.63560000000000005</v>
      </c>
      <c r="O142">
        <v>2.1152000000000002</v>
      </c>
      <c r="P142">
        <v>-0.41460000000000002</v>
      </c>
      <c r="Q142">
        <v>-8.5199999999999998E-2</v>
      </c>
      <c r="R142">
        <v>-0.14799999999999999</v>
      </c>
      <c r="S142">
        <v>-0.49409999999999998</v>
      </c>
      <c r="T142">
        <v>18.602499999999999</v>
      </c>
      <c r="U142">
        <v>-0.41460000000000002</v>
      </c>
      <c r="V142">
        <v>26000</v>
      </c>
      <c r="W142">
        <v>4.6978999999999997</v>
      </c>
      <c r="X142">
        <f t="shared" si="2"/>
        <v>0.11765661378526179</v>
      </c>
    </row>
    <row r="143" spans="1:24" x14ac:dyDescent="0.3">
      <c r="A143">
        <v>2022</v>
      </c>
      <c r="B143" s="1" t="s">
        <v>37</v>
      </c>
      <c r="C143" s="1" t="s">
        <v>38</v>
      </c>
      <c r="D143">
        <v>41.28</v>
      </c>
      <c r="E143">
        <v>21680</v>
      </c>
      <c r="F143">
        <v>16824</v>
      </c>
      <c r="G143">
        <v>1800</v>
      </c>
      <c r="H143">
        <v>0.84</v>
      </c>
      <c r="I143">
        <v>5693</v>
      </c>
      <c r="J143">
        <v>23075</v>
      </c>
      <c r="K143">
        <v>3721</v>
      </c>
      <c r="L143">
        <v>-10214</v>
      </c>
      <c r="M143">
        <v>7133</v>
      </c>
      <c r="N143">
        <v>0.81169999999999998</v>
      </c>
      <c r="O143">
        <v>2.2563</v>
      </c>
      <c r="P143">
        <v>7.8613</v>
      </c>
      <c r="Q143">
        <v>1.5288999999999999</v>
      </c>
      <c r="R143">
        <v>2.5615000000000001</v>
      </c>
      <c r="S143">
        <v>8.3026</v>
      </c>
      <c r="T143">
        <v>-1.6E-2</v>
      </c>
      <c r="U143">
        <v>7.8613</v>
      </c>
      <c r="V143">
        <v>26010</v>
      </c>
      <c r="W143">
        <v>8.0028000000000006</v>
      </c>
      <c r="X143">
        <f t="shared" si="2"/>
        <v>5.0285825016955721E-2</v>
      </c>
    </row>
    <row r="144" spans="1:24" x14ac:dyDescent="0.3">
      <c r="A144">
        <v>2014</v>
      </c>
      <c r="B144" s="1" t="s">
        <v>39</v>
      </c>
      <c r="C144" s="1" t="s">
        <v>40</v>
      </c>
      <c r="E144">
        <v>8025</v>
      </c>
      <c r="F144">
        <v>4218</v>
      </c>
      <c r="G144">
        <v>419</v>
      </c>
      <c r="H144">
        <v>0.34</v>
      </c>
      <c r="I144">
        <v>1784</v>
      </c>
      <c r="J144">
        <v>8248</v>
      </c>
      <c r="K144">
        <v>2220</v>
      </c>
      <c r="L144">
        <v>-2881</v>
      </c>
      <c r="M144">
        <v>1284</v>
      </c>
      <c r="N144">
        <v>1.3224</v>
      </c>
      <c r="O144">
        <v>0.13250000000000001</v>
      </c>
      <c r="P144">
        <v>5.08</v>
      </c>
      <c r="Q144">
        <v>1.9117999999999999</v>
      </c>
      <c r="R144">
        <v>5.08</v>
      </c>
      <c r="S144">
        <v>5.2211999999999996</v>
      </c>
      <c r="T144">
        <v>0.10299999999999999</v>
      </c>
      <c r="U144">
        <v>8.5457999999999998</v>
      </c>
      <c r="V144">
        <v>15800</v>
      </c>
      <c r="W144">
        <v>1.6222000000000001</v>
      </c>
      <c r="X144" t="str">
        <f t="shared" si="2"/>
        <v/>
      </c>
    </row>
    <row r="145" spans="1:24" x14ac:dyDescent="0.3">
      <c r="A145">
        <v>2015</v>
      </c>
      <c r="B145" s="1" t="s">
        <v>39</v>
      </c>
      <c r="C145" s="1" t="s">
        <v>40</v>
      </c>
      <c r="D145">
        <v>44.23</v>
      </c>
      <c r="E145">
        <v>9248</v>
      </c>
      <c r="F145">
        <v>4719</v>
      </c>
      <c r="G145">
        <v>1228</v>
      </c>
      <c r="H145">
        <v>1</v>
      </c>
      <c r="I145">
        <v>2069</v>
      </c>
      <c r="J145">
        <v>13759</v>
      </c>
      <c r="K145">
        <v>2546</v>
      </c>
      <c r="L145">
        <v>-8038</v>
      </c>
      <c r="M145">
        <v>4728</v>
      </c>
      <c r="N145">
        <v>1.5163</v>
      </c>
      <c r="O145">
        <v>0</v>
      </c>
      <c r="P145">
        <v>8.9251000000000005</v>
      </c>
      <c r="Q145">
        <v>4.2519</v>
      </c>
      <c r="R145">
        <v>8.9251000000000005</v>
      </c>
      <c r="S145">
        <v>13.278600000000001</v>
      </c>
      <c r="T145">
        <v>9.35E-2</v>
      </c>
      <c r="U145">
        <v>13.159000000000001</v>
      </c>
      <c r="V145">
        <v>16800</v>
      </c>
      <c r="W145">
        <v>0.1186</v>
      </c>
      <c r="X145">
        <f t="shared" si="2"/>
        <v>0.152398753894081</v>
      </c>
    </row>
    <row r="146" spans="1:24" x14ac:dyDescent="0.3">
      <c r="A146">
        <v>2016</v>
      </c>
      <c r="B146" s="1" t="s">
        <v>39</v>
      </c>
      <c r="C146" s="1" t="s">
        <v>40</v>
      </c>
      <c r="D146">
        <v>47.63</v>
      </c>
      <c r="E146">
        <v>10842</v>
      </c>
      <c r="F146">
        <v>5141</v>
      </c>
      <c r="G146">
        <v>1401</v>
      </c>
      <c r="H146">
        <v>1.1499999999999999</v>
      </c>
      <c r="I146">
        <v>2310</v>
      </c>
      <c r="J146">
        <v>14712</v>
      </c>
      <c r="K146">
        <v>3158</v>
      </c>
      <c r="L146">
        <v>-5904</v>
      </c>
      <c r="M146">
        <v>2038</v>
      </c>
      <c r="N146">
        <v>1.5246</v>
      </c>
      <c r="O146">
        <v>0</v>
      </c>
      <c r="P146">
        <v>9.5228000000000002</v>
      </c>
      <c r="Q146">
        <v>4.2321999999999997</v>
      </c>
      <c r="R146">
        <v>9.5228000000000002</v>
      </c>
      <c r="S146">
        <v>12.922000000000001</v>
      </c>
      <c r="T146">
        <v>0.53820000000000001</v>
      </c>
      <c r="U146">
        <v>13.417</v>
      </c>
      <c r="V146">
        <v>18100</v>
      </c>
      <c r="W146">
        <v>1.2616000000000001</v>
      </c>
      <c r="X146">
        <f t="shared" si="2"/>
        <v>0.17236159169550172</v>
      </c>
    </row>
    <row r="147" spans="1:24" x14ac:dyDescent="0.3">
      <c r="A147">
        <v>2017</v>
      </c>
      <c r="B147" s="1" t="s">
        <v>39</v>
      </c>
      <c r="C147" s="1" t="s">
        <v>40</v>
      </c>
      <c r="D147">
        <v>88.48</v>
      </c>
      <c r="E147">
        <v>13094</v>
      </c>
      <c r="F147">
        <v>6399</v>
      </c>
      <c r="G147">
        <v>1795</v>
      </c>
      <c r="H147">
        <v>1.47</v>
      </c>
      <c r="I147">
        <v>2932</v>
      </c>
      <c r="J147">
        <v>15994</v>
      </c>
      <c r="K147">
        <v>2531</v>
      </c>
      <c r="L147">
        <v>-4485</v>
      </c>
      <c r="M147">
        <v>4084</v>
      </c>
      <c r="N147">
        <v>1.4278999999999999</v>
      </c>
      <c r="O147">
        <v>6.25E-2</v>
      </c>
      <c r="P147">
        <v>11.223000000000001</v>
      </c>
      <c r="Q147">
        <v>4.4023000000000003</v>
      </c>
      <c r="R147">
        <v>11.223000000000001</v>
      </c>
      <c r="S147">
        <v>13.708600000000001</v>
      </c>
      <c r="T147">
        <v>-0.51690000000000003</v>
      </c>
      <c r="U147">
        <v>15.6264</v>
      </c>
      <c r="V147">
        <v>18700</v>
      </c>
      <c r="W147">
        <v>2.1301000000000001</v>
      </c>
      <c r="X147">
        <f t="shared" si="2"/>
        <v>0.20771075447334439</v>
      </c>
    </row>
    <row r="148" spans="1:24" x14ac:dyDescent="0.3">
      <c r="A148">
        <v>2018</v>
      </c>
      <c r="B148" s="1" t="s">
        <v>39</v>
      </c>
      <c r="C148" s="1" t="s">
        <v>40</v>
      </c>
      <c r="D148">
        <v>99.09</v>
      </c>
      <c r="E148">
        <v>15451</v>
      </c>
      <c r="F148">
        <v>7189</v>
      </c>
      <c r="G148">
        <v>2057</v>
      </c>
      <c r="H148">
        <v>1.71</v>
      </c>
      <c r="I148">
        <v>2970</v>
      </c>
      <c r="J148">
        <v>15386</v>
      </c>
      <c r="K148">
        <v>5480</v>
      </c>
      <c r="L148">
        <v>821</v>
      </c>
      <c r="M148">
        <v>-1240</v>
      </c>
      <c r="N148">
        <v>1.2725</v>
      </c>
      <c r="O148">
        <v>0.12989999999999999</v>
      </c>
      <c r="P148">
        <v>13.369300000000001</v>
      </c>
      <c r="Q148">
        <v>4.7470999999999997</v>
      </c>
      <c r="R148">
        <v>13.369300000000001</v>
      </c>
      <c r="S148">
        <v>13.3131</v>
      </c>
      <c r="T148">
        <v>2.347</v>
      </c>
      <c r="U148">
        <v>24.852</v>
      </c>
      <c r="V148">
        <v>21800</v>
      </c>
      <c r="W148">
        <v>2.4426000000000001</v>
      </c>
      <c r="X148">
        <f t="shared" si="2"/>
        <v>0.18000610966855049</v>
      </c>
    </row>
    <row r="149" spans="1:24" x14ac:dyDescent="0.3">
      <c r="A149">
        <v>2019</v>
      </c>
      <c r="B149" s="1" t="s">
        <v>39</v>
      </c>
      <c r="C149" s="1" t="s">
        <v>40</v>
      </c>
      <c r="D149">
        <v>127.01</v>
      </c>
      <c r="E149">
        <v>17772</v>
      </c>
      <c r="F149">
        <v>7987</v>
      </c>
      <c r="G149">
        <v>2459</v>
      </c>
      <c r="H149">
        <v>2.0699999999999998</v>
      </c>
      <c r="I149">
        <v>3631</v>
      </c>
      <c r="J149">
        <v>16929</v>
      </c>
      <c r="K149">
        <v>4071</v>
      </c>
      <c r="L149">
        <v>-5742</v>
      </c>
      <c r="M149">
        <v>4187</v>
      </c>
      <c r="N149">
        <v>1.43</v>
      </c>
      <c r="O149">
        <v>0.29330000000000001</v>
      </c>
      <c r="P149">
        <v>14.525399999999999</v>
      </c>
      <c r="Q149">
        <v>4.7903000000000002</v>
      </c>
      <c r="R149">
        <v>11.231400000000001</v>
      </c>
      <c r="S149">
        <v>13.836399999999999</v>
      </c>
      <c r="T149">
        <v>-1.0250999999999999</v>
      </c>
      <c r="U149">
        <v>24.7409</v>
      </c>
      <c r="V149">
        <v>23200</v>
      </c>
      <c r="W149">
        <v>1.8122</v>
      </c>
      <c r="X149">
        <f t="shared" si="2"/>
        <v>0.15021681444566695</v>
      </c>
    </row>
    <row r="150" spans="1:24" x14ac:dyDescent="0.3">
      <c r="A150">
        <v>2020</v>
      </c>
      <c r="B150" s="1" t="s">
        <v>39</v>
      </c>
      <c r="C150" s="1" t="s">
        <v>40</v>
      </c>
      <c r="D150">
        <v>274.41000000000003</v>
      </c>
      <c r="E150">
        <v>21454</v>
      </c>
      <c r="F150">
        <v>10001</v>
      </c>
      <c r="G150">
        <v>4202</v>
      </c>
      <c r="H150">
        <v>3.54</v>
      </c>
      <c r="I150">
        <v>4478</v>
      </c>
      <c r="J150">
        <v>20063</v>
      </c>
      <c r="K150">
        <v>6219</v>
      </c>
      <c r="L150">
        <v>-16545</v>
      </c>
      <c r="M150">
        <v>12454</v>
      </c>
      <c r="N150">
        <v>1.3264</v>
      </c>
      <c r="O150">
        <v>0.44550000000000001</v>
      </c>
      <c r="P150">
        <v>20.943999999999999</v>
      </c>
      <c r="Q150">
        <v>5.9705000000000004</v>
      </c>
      <c r="R150">
        <v>14.4887</v>
      </c>
      <c r="S150">
        <v>19.586099999999998</v>
      </c>
      <c r="T150">
        <v>1.7623</v>
      </c>
      <c r="U150">
        <v>42.5304</v>
      </c>
      <c r="V150">
        <v>26500</v>
      </c>
      <c r="W150">
        <v>1.2336</v>
      </c>
      <c r="X150">
        <f t="shared" si="2"/>
        <v>0.2071798334458699</v>
      </c>
    </row>
    <row r="151" spans="1:24" x14ac:dyDescent="0.3">
      <c r="A151">
        <v>2021</v>
      </c>
      <c r="B151" s="1" t="s">
        <v>39</v>
      </c>
      <c r="C151" s="1" t="s">
        <v>40</v>
      </c>
      <c r="D151">
        <v>221.57</v>
      </c>
      <c r="E151">
        <v>25371</v>
      </c>
      <c r="F151">
        <v>11921</v>
      </c>
      <c r="G151">
        <v>4169</v>
      </c>
      <c r="H151">
        <v>3.52</v>
      </c>
      <c r="I151">
        <v>5527</v>
      </c>
      <c r="J151">
        <v>21727</v>
      </c>
      <c r="K151">
        <v>5797</v>
      </c>
      <c r="L151">
        <v>-5149</v>
      </c>
      <c r="M151">
        <v>-557</v>
      </c>
      <c r="N151">
        <v>1.2218</v>
      </c>
      <c r="O151">
        <v>0.3705</v>
      </c>
      <c r="P151">
        <v>19.188099999999999</v>
      </c>
      <c r="Q151">
        <v>5.4997999999999996</v>
      </c>
      <c r="R151">
        <v>14.001200000000001</v>
      </c>
      <c r="S151">
        <v>16.432200000000002</v>
      </c>
      <c r="T151">
        <v>-0.48430000000000001</v>
      </c>
      <c r="U151">
        <v>46.627899999999997</v>
      </c>
      <c r="V151">
        <v>30900</v>
      </c>
      <c r="W151">
        <v>4.6978999999999997</v>
      </c>
      <c r="X151">
        <f t="shared" si="2"/>
        <v>0.18257667567819522</v>
      </c>
    </row>
    <row r="152" spans="1:24" x14ac:dyDescent="0.3">
      <c r="A152">
        <v>2022</v>
      </c>
      <c r="B152" s="1" t="s">
        <v>39</v>
      </c>
      <c r="C152" s="1" t="s">
        <v>40</v>
      </c>
      <c r="D152">
        <v>81.19</v>
      </c>
      <c r="E152">
        <v>27518</v>
      </c>
      <c r="F152">
        <v>11653</v>
      </c>
      <c r="G152">
        <v>2419</v>
      </c>
      <c r="H152">
        <v>2.09</v>
      </c>
      <c r="I152">
        <v>5154</v>
      </c>
      <c r="J152">
        <v>20274</v>
      </c>
      <c r="K152">
        <v>5813</v>
      </c>
      <c r="L152">
        <v>-3421</v>
      </c>
      <c r="M152">
        <v>-1110</v>
      </c>
      <c r="N152">
        <v>1.2753000000000001</v>
      </c>
      <c r="O152">
        <v>0.51380000000000003</v>
      </c>
      <c r="P152">
        <v>11.9315</v>
      </c>
      <c r="Q152">
        <v>3.073</v>
      </c>
      <c r="R152">
        <v>7.8818000000000001</v>
      </c>
      <c r="S152">
        <v>8.7905999999999995</v>
      </c>
      <c r="T152">
        <v>0.28799999999999998</v>
      </c>
      <c r="U152">
        <v>29.2256</v>
      </c>
      <c r="V152">
        <v>29900</v>
      </c>
      <c r="W152">
        <v>8.0028000000000006</v>
      </c>
      <c r="X152">
        <f t="shared" si="2"/>
        <v>8.462417721020063E-2</v>
      </c>
    </row>
    <row r="153" spans="1:24" x14ac:dyDescent="0.3">
      <c r="A153">
        <v>2009</v>
      </c>
      <c r="B153" s="1" t="s">
        <v>41</v>
      </c>
      <c r="C153" s="1" t="s">
        <v>42</v>
      </c>
      <c r="D153">
        <v>8.98</v>
      </c>
      <c r="E153">
        <v>46770</v>
      </c>
      <c r="F153">
        <v>12652</v>
      </c>
      <c r="G153">
        <v>53</v>
      </c>
      <c r="H153">
        <v>0.42</v>
      </c>
      <c r="I153">
        <v>1283</v>
      </c>
      <c r="J153">
        <v>9699</v>
      </c>
      <c r="K153">
        <v>992</v>
      </c>
      <c r="L153">
        <v>-637</v>
      </c>
      <c r="M153">
        <v>-643</v>
      </c>
      <c r="N153">
        <v>1.3411999999999999</v>
      </c>
      <c r="O153">
        <v>0.30099999999999999</v>
      </c>
      <c r="P153">
        <v>1.0206999999999999</v>
      </c>
      <c r="Q153">
        <v>0.39069999999999999</v>
      </c>
      <c r="R153">
        <v>0.83679999999999999</v>
      </c>
      <c r="S153">
        <v>0.1133</v>
      </c>
      <c r="T153">
        <v>4.5747999999999998</v>
      </c>
      <c r="U153">
        <v>1.9704999999999999</v>
      </c>
      <c r="V153">
        <v>291000</v>
      </c>
      <c r="W153">
        <v>-0.35549999999999998</v>
      </c>
      <c r="X153" t="str">
        <f t="shared" si="2"/>
        <v/>
      </c>
    </row>
    <row r="154" spans="1:24" x14ac:dyDescent="0.3">
      <c r="A154">
        <v>2010</v>
      </c>
      <c r="B154" s="1" t="s">
        <v>41</v>
      </c>
      <c r="C154" s="1" t="s">
        <v>42</v>
      </c>
      <c r="D154">
        <v>8.2200000000000006</v>
      </c>
      <c r="E154">
        <v>43360</v>
      </c>
      <c r="F154">
        <v>11986</v>
      </c>
      <c r="G154">
        <v>235</v>
      </c>
      <c r="H154">
        <v>1.99</v>
      </c>
      <c r="I154">
        <v>1561</v>
      </c>
      <c r="J154">
        <v>9435</v>
      </c>
      <c r="K154">
        <v>1507</v>
      </c>
      <c r="L154">
        <v>-172</v>
      </c>
      <c r="M154">
        <v>-951</v>
      </c>
      <c r="N154">
        <v>1.3018000000000001</v>
      </c>
      <c r="O154">
        <v>0.26550000000000001</v>
      </c>
      <c r="P154">
        <v>2.9676999999999998</v>
      </c>
      <c r="Q154">
        <v>1.1287</v>
      </c>
      <c r="R154">
        <v>2.5150000000000001</v>
      </c>
      <c r="S154">
        <v>0.54200000000000004</v>
      </c>
      <c r="T154">
        <v>5.4337</v>
      </c>
      <c r="U154">
        <v>5.7911000000000001</v>
      </c>
      <c r="V154">
        <v>290000</v>
      </c>
      <c r="W154">
        <v>1.64</v>
      </c>
      <c r="X154">
        <f t="shared" si="2"/>
        <v>-7.2909985033140903E-2</v>
      </c>
    </row>
    <row r="155" spans="1:24" x14ac:dyDescent="0.3">
      <c r="A155">
        <v>2011</v>
      </c>
      <c r="B155" s="1" t="s">
        <v>41</v>
      </c>
      <c r="C155" s="1" t="s">
        <v>42</v>
      </c>
      <c r="D155">
        <v>3.39</v>
      </c>
      <c r="E155">
        <v>42664</v>
      </c>
      <c r="F155">
        <v>11664</v>
      </c>
      <c r="G155">
        <v>133</v>
      </c>
      <c r="H155">
        <v>1.19</v>
      </c>
      <c r="I155">
        <v>1306</v>
      </c>
      <c r="J155">
        <v>8614</v>
      </c>
      <c r="K155">
        <v>123</v>
      </c>
      <c r="L155">
        <v>-406</v>
      </c>
      <c r="M155">
        <v>-95</v>
      </c>
      <c r="N155">
        <v>1.3374999999999999</v>
      </c>
      <c r="O155">
        <v>0.37069999999999997</v>
      </c>
      <c r="P155">
        <v>1.6136999999999999</v>
      </c>
      <c r="Q155">
        <v>0.5706</v>
      </c>
      <c r="R155">
        <v>1.2685</v>
      </c>
      <c r="S155">
        <v>0.31169999999999998</v>
      </c>
      <c r="T155">
        <v>-12.4078</v>
      </c>
      <c r="U155">
        <v>3.2867999999999999</v>
      </c>
      <c r="V155">
        <v>280000</v>
      </c>
      <c r="W155">
        <v>3.1568000000000001</v>
      </c>
      <c r="X155">
        <f t="shared" si="2"/>
        <v>-1.6051660516605167E-2</v>
      </c>
    </row>
    <row r="156" spans="1:24" x14ac:dyDescent="0.3">
      <c r="A156">
        <v>2012</v>
      </c>
      <c r="B156" s="1" t="s">
        <v>41</v>
      </c>
      <c r="C156" s="1" t="s">
        <v>42</v>
      </c>
      <c r="D156">
        <v>4.47</v>
      </c>
      <c r="E156">
        <v>41567</v>
      </c>
      <c r="F156">
        <v>10601</v>
      </c>
      <c r="G156">
        <v>-3140</v>
      </c>
      <c r="H156">
        <v>-29.4</v>
      </c>
      <c r="I156">
        <v>-648</v>
      </c>
      <c r="J156">
        <v>4341</v>
      </c>
      <c r="K156">
        <v>-275</v>
      </c>
      <c r="L156">
        <v>-309</v>
      </c>
      <c r="M156">
        <v>-28</v>
      </c>
      <c r="N156">
        <v>1.1120000000000001</v>
      </c>
      <c r="O156">
        <v>0.80469999999999997</v>
      </c>
      <c r="P156">
        <v>-71.872799999999998</v>
      </c>
      <c r="Q156">
        <v>-14.5924</v>
      </c>
      <c r="R156">
        <v>-48.530099999999997</v>
      </c>
      <c r="S156">
        <v>-7.5541</v>
      </c>
      <c r="T156">
        <v>-3.5464000000000002</v>
      </c>
      <c r="U156">
        <v>-554.17409999999995</v>
      </c>
      <c r="V156">
        <v>264000</v>
      </c>
      <c r="W156">
        <v>2.0693000000000001</v>
      </c>
      <c r="X156">
        <f t="shared" si="2"/>
        <v>-2.5712544534033377E-2</v>
      </c>
    </row>
    <row r="157" spans="1:24" x14ac:dyDescent="0.3">
      <c r="A157">
        <v>2013</v>
      </c>
      <c r="B157" s="1" t="s">
        <v>41</v>
      </c>
      <c r="C157" s="1" t="s">
        <v>42</v>
      </c>
      <c r="D157">
        <v>4.9000000000000004</v>
      </c>
      <c r="E157">
        <v>39854</v>
      </c>
      <c r="F157">
        <v>10514</v>
      </c>
      <c r="G157">
        <v>-930</v>
      </c>
      <c r="H157">
        <v>-8.7799999999999994</v>
      </c>
      <c r="I157">
        <v>-8</v>
      </c>
      <c r="J157">
        <v>3172</v>
      </c>
      <c r="K157">
        <v>-303</v>
      </c>
      <c r="L157">
        <v>191</v>
      </c>
      <c r="M157">
        <v>-27</v>
      </c>
      <c r="N157">
        <v>1.1011</v>
      </c>
      <c r="O157">
        <v>0.98360000000000003</v>
      </c>
      <c r="P157">
        <v>-33.228299999999997</v>
      </c>
      <c r="Q157">
        <v>-5.4497999999999998</v>
      </c>
      <c r="R157">
        <v>-20.606100000000001</v>
      </c>
      <c r="S157">
        <v>-2.3334999999999999</v>
      </c>
      <c r="T157">
        <v>4.5387000000000004</v>
      </c>
      <c r="U157">
        <v>1197.7270000000001</v>
      </c>
      <c r="V157">
        <v>246000</v>
      </c>
      <c r="W157">
        <v>1.4648000000000001</v>
      </c>
      <c r="X157">
        <f t="shared" si="2"/>
        <v>-4.1210575697067382E-2</v>
      </c>
    </row>
    <row r="158" spans="1:24" x14ac:dyDescent="0.3">
      <c r="A158">
        <v>2014</v>
      </c>
      <c r="B158" s="1" t="s">
        <v>41</v>
      </c>
      <c r="C158" s="1" t="s">
        <v>42</v>
      </c>
      <c r="D158">
        <v>3.51</v>
      </c>
      <c r="E158">
        <v>36188</v>
      </c>
      <c r="F158">
        <v>8755</v>
      </c>
      <c r="G158">
        <v>-1365</v>
      </c>
      <c r="H158">
        <v>-12.87</v>
      </c>
      <c r="I158">
        <v>-195</v>
      </c>
      <c r="J158">
        <v>2183</v>
      </c>
      <c r="K158">
        <v>-1109</v>
      </c>
      <c r="L158">
        <v>664</v>
      </c>
      <c r="M158">
        <v>902</v>
      </c>
      <c r="N158">
        <v>1.0946</v>
      </c>
      <c r="O158">
        <v>1.9463999999999999</v>
      </c>
      <c r="P158">
        <v>-51.122300000000003</v>
      </c>
      <c r="Q158">
        <v>-6.1113999999999997</v>
      </c>
      <c r="R158">
        <v>-22.244399999999999</v>
      </c>
      <c r="S158">
        <v>-3.7719999999999998</v>
      </c>
      <c r="T158">
        <v>-2.7683</v>
      </c>
      <c r="U158">
        <v>106.6922</v>
      </c>
      <c r="V158">
        <v>226000</v>
      </c>
      <c r="W158">
        <v>1.6222000000000001</v>
      </c>
      <c r="X158">
        <f t="shared" si="2"/>
        <v>-9.1985747980127472E-2</v>
      </c>
    </row>
    <row r="159" spans="1:24" x14ac:dyDescent="0.3">
      <c r="A159">
        <v>2015</v>
      </c>
      <c r="B159" s="1" t="s">
        <v>41</v>
      </c>
      <c r="C159" s="1" t="s">
        <v>42</v>
      </c>
      <c r="D159">
        <v>2.19</v>
      </c>
      <c r="E159">
        <v>31198</v>
      </c>
      <c r="F159">
        <v>7149</v>
      </c>
      <c r="G159">
        <v>-1682</v>
      </c>
      <c r="H159">
        <v>-15.82</v>
      </c>
      <c r="I159">
        <v>-889</v>
      </c>
      <c r="J159">
        <v>-945</v>
      </c>
      <c r="K159">
        <v>-1387</v>
      </c>
      <c r="L159">
        <v>327</v>
      </c>
      <c r="M159">
        <v>285</v>
      </c>
      <c r="N159">
        <v>1.0479000000000001</v>
      </c>
      <c r="O159">
        <v>-3.9958</v>
      </c>
      <c r="P159">
        <v>191.53440000000001</v>
      </c>
      <c r="Q159">
        <v>-13.7277</v>
      </c>
      <c r="R159">
        <v>-84.500500000000002</v>
      </c>
      <c r="S159">
        <v>-5.3914</v>
      </c>
      <c r="T159">
        <v>-7.4240000000000004</v>
      </c>
      <c r="U159">
        <v>54.6663</v>
      </c>
      <c r="V159">
        <v>196000</v>
      </c>
      <c r="W159">
        <v>0.1186</v>
      </c>
      <c r="X159">
        <f t="shared" si="2"/>
        <v>-0.13789101359566708</v>
      </c>
    </row>
    <row r="160" spans="1:24" x14ac:dyDescent="0.3">
      <c r="A160">
        <v>2016</v>
      </c>
      <c r="B160" s="1" t="s">
        <v>41</v>
      </c>
      <c r="C160" s="1" t="s">
        <v>42</v>
      </c>
      <c r="D160">
        <v>1.1100000000000001</v>
      </c>
      <c r="E160">
        <v>25146</v>
      </c>
      <c r="F160">
        <v>5810</v>
      </c>
      <c r="G160">
        <v>-1129</v>
      </c>
      <c r="H160">
        <v>-10.59</v>
      </c>
      <c r="I160">
        <v>-570</v>
      </c>
      <c r="J160">
        <v>-1956</v>
      </c>
      <c r="K160">
        <v>-2167</v>
      </c>
      <c r="L160">
        <v>2519</v>
      </c>
      <c r="M160">
        <v>-364</v>
      </c>
      <c r="N160">
        <v>1.1115999999999999</v>
      </c>
      <c r="O160">
        <v>-1.5215000000000001</v>
      </c>
      <c r="P160">
        <v>57.668700000000001</v>
      </c>
      <c r="Q160">
        <v>-9.9497</v>
      </c>
      <c r="R160">
        <v>-742.10519999999997</v>
      </c>
      <c r="S160">
        <v>-4.4897999999999998</v>
      </c>
      <c r="T160">
        <v>14.901400000000001</v>
      </c>
      <c r="U160">
        <v>27.285900000000002</v>
      </c>
      <c r="V160">
        <v>178000</v>
      </c>
      <c r="W160">
        <v>1.2616000000000001</v>
      </c>
      <c r="X160">
        <f t="shared" si="2"/>
        <v>-0.19398679402525804</v>
      </c>
    </row>
    <row r="161" spans="1:24" x14ac:dyDescent="0.3">
      <c r="A161">
        <v>2017</v>
      </c>
      <c r="B161" s="1" t="s">
        <v>41</v>
      </c>
      <c r="C161" s="1" t="s">
        <v>42</v>
      </c>
      <c r="D161">
        <v>0.37</v>
      </c>
      <c r="E161">
        <v>22138</v>
      </c>
      <c r="F161">
        <v>4686</v>
      </c>
      <c r="G161">
        <v>-2221</v>
      </c>
      <c r="H161">
        <v>-20.78</v>
      </c>
      <c r="I161">
        <v>-1610</v>
      </c>
      <c r="J161">
        <v>-3824</v>
      </c>
      <c r="K161">
        <v>-1381</v>
      </c>
      <c r="L161">
        <v>244</v>
      </c>
      <c r="M161">
        <v>1185</v>
      </c>
      <c r="N161">
        <v>1.0672999999999999</v>
      </c>
      <c r="O161">
        <v>-1.0887</v>
      </c>
      <c r="P161">
        <v>58.080500000000001</v>
      </c>
      <c r="Q161">
        <v>-23.723600000000001</v>
      </c>
      <c r="R161">
        <v>884.8605</v>
      </c>
      <c r="S161">
        <v>-10.032500000000001</v>
      </c>
      <c r="T161">
        <v>-13.9382</v>
      </c>
      <c r="U161">
        <v>39.561799999999998</v>
      </c>
      <c r="V161">
        <v>140000</v>
      </c>
      <c r="W161">
        <v>2.1301000000000001</v>
      </c>
      <c r="X161">
        <f t="shared" si="2"/>
        <v>-0.11962141095999364</v>
      </c>
    </row>
    <row r="162" spans="1:24" x14ac:dyDescent="0.3">
      <c r="A162">
        <v>2018</v>
      </c>
      <c r="B162" s="1" t="s">
        <v>41</v>
      </c>
      <c r="C162" s="1" t="s">
        <v>42</v>
      </c>
      <c r="D162">
        <v>0.04</v>
      </c>
      <c r="E162">
        <v>16702</v>
      </c>
      <c r="F162">
        <v>3527</v>
      </c>
      <c r="G162">
        <v>-383</v>
      </c>
      <c r="H162">
        <v>-3.57</v>
      </c>
      <c r="I162">
        <v>-52</v>
      </c>
      <c r="J162">
        <v>-3723</v>
      </c>
      <c r="K162">
        <v>-1842</v>
      </c>
      <c r="L162">
        <v>1894</v>
      </c>
      <c r="M162">
        <v>-2</v>
      </c>
      <c r="N162">
        <v>0.77559999999999996</v>
      </c>
      <c r="O162">
        <v>-1.1099000000000001</v>
      </c>
      <c r="P162">
        <v>10.2874</v>
      </c>
      <c r="Q162">
        <v>-5.274</v>
      </c>
      <c r="R162">
        <v>25.983699999999999</v>
      </c>
      <c r="S162">
        <v>-2.2930999999999999</v>
      </c>
      <c r="T162">
        <v>3.0663</v>
      </c>
      <c r="U162">
        <v>7.4225000000000003</v>
      </c>
      <c r="V162">
        <v>89900</v>
      </c>
      <c r="W162">
        <v>2.4426000000000001</v>
      </c>
      <c r="X162">
        <f t="shared" si="2"/>
        <v>-0.24555063691390369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CB68-FAE8-46CD-B9B8-FD85FB5BF3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48DAFE-87E0-407D-B945-E9CB43790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Statements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Amarasena A.S.K.K BM24200365</dc:creator>
  <cp:lastModifiedBy>Amarasena A.S.K.K BM24200365</cp:lastModifiedBy>
  <dcterms:created xsi:type="dcterms:W3CDTF">2026-07-10T04:46:11Z</dcterms:created>
  <dcterms:modified xsi:type="dcterms:W3CDTF">2026-07-10T07:50:19Z</dcterms:modified>
</cp:coreProperties>
</file>